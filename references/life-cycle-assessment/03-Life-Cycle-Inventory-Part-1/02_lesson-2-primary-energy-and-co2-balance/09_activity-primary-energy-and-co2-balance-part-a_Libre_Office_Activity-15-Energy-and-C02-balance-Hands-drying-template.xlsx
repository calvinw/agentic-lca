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d dry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<sst xmlns="http://schemas.openxmlformats.org/spreadsheetml/2006/main" count="73" uniqueCount="42">
  <si>
    <t xml:space="preserve">kg/t conversion factor</t>
  </si>
  <si>
    <t xml:space="preserve">g/kg</t>
  </si>
  <si>
    <t xml:space="preserve">Towel hand drying                        FU= 1 pair of dried hands                            Life Cycle stage</t>
  </si>
  <si>
    <t xml:space="preserve">Quantity per FU</t>
  </si>
  <si>
    <t xml:space="preserve">Unit</t>
  </si>
  <si>
    <t xml:space="preserve">Energy/Unit  [MJ/Unit]</t>
  </si>
  <si>
    <t xml:space="preserve">Energy per FU [MJ/FU]</t>
  </si>
  <si>
    <t xml:space="preserve">fraction</t>
  </si>
  <si>
    <t xml:space="preserve">CO2/Unit [kg/unit]</t>
  </si>
  <si>
    <t xml:space="preserve">CO2/FU</t>
  </si>
  <si>
    <t xml:space="preserve">fraction2</t>
  </si>
  <si>
    <t xml:space="preserve">Check g CO2/MJ</t>
  </si>
  <si>
    <t xml:space="preserve">Materials</t>
  </si>
  <si>
    <t xml:space="preserve">Paper (towel)</t>
  </si>
  <si>
    <t xml:space="preserve">kg</t>
  </si>
  <si>
    <t xml:space="preserve">PP plastic (dispenser)</t>
  </si>
  <si>
    <t xml:space="preserve">Processing</t>
  </si>
  <si>
    <t xml:space="preserve">PP Plastic dispenser manufacturing</t>
  </si>
  <si>
    <t xml:space="preserve">Transportation</t>
  </si>
  <si>
    <t xml:space="preserve">Towel - 100 km truck 3.5t</t>
  </si>
  <si>
    <t xml:space="preserve">t-km</t>
  </si>
  <si>
    <t xml:space="preserve">Dispenser - 2000 km truck 32t</t>
  </si>
  <si>
    <t xml:space="preserve">Use phase</t>
  </si>
  <si>
    <t xml:space="preserve">-</t>
  </si>
  <si>
    <t xml:space="preserve">Disposal</t>
  </si>
  <si>
    <t xml:space="preserve">Towel incineration</t>
  </si>
  <si>
    <t xml:space="preserve">Towel energy recovery (extra credit)</t>
  </si>
  <si>
    <t xml:space="preserve">kWh</t>
  </si>
  <si>
    <t xml:space="preserve">Total</t>
  </si>
  <si>
    <t xml:space="preserve">Electric air drying                                           FU= 1 pair of dried hands                            Life Cycle stage</t>
  </si>
  <si>
    <t xml:space="preserve">Cast Iron air dryer</t>
  </si>
  <si>
    <t xml:space="preserve">Steel air dryer</t>
  </si>
  <si>
    <t xml:space="preserve">Air Dryer manufacturing</t>
  </si>
  <si>
    <t xml:space="preserve">Air dryer - 2000 km truck 32t</t>
  </si>
  <si>
    <t xml:space="preserve">Electricity</t>
  </si>
  <si>
    <t xml:space="preserve">Drying device at landfill</t>
  </si>
  <si>
    <t xml:space="preserve">Result discussion </t>
  </si>
  <si>
    <t xml:space="preserve">3a.Towel - dominant contributions </t>
  </si>
  <si>
    <t xml:space="preserve">3b.Air dryer- dominant contributions</t>
  </si>
  <si>
    <t xml:space="preserve">3c. Comparison between scenarios</t>
  </si>
  <si>
    <t xml:space="preserve">4. Interpretation of ratios gCO2/MJ </t>
  </si>
  <si>
    <t xml:space="preserve">5. Importance of heat recovery and electricity substitution related to towel incineration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</si>
</sst>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00"/>
    <numFmt numFmtId="168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6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lectric_hand_drying_cycle_stage" displayName="electric_hand_drying_cycle_stage" ref="A23:J36" headerRowCount="1" totalsRowCount="0" totalsRowShown="0">
  <autoFilter ref="A23:J36"/>
  <tableColumns count="10">
    <tableColumn id="1" name="Electric air drying                                           FU= 1 pair of dried hands                            Life Cycle stage"/>
    <tableColumn id="2" name="Quantity per FU"/>
    <tableColumn id="3" name="Unit"/>
    <tableColumn id="4" name="Energy/Unit  [MJ/Unit]"/>
    <tableColumn id="5" name="Energy per FU [MJ/FU]"/>
    <tableColumn id="6" name="fraction"/>
    <tableColumn id="7" name="CO2/Unit [kg/unit]"/>
    <tableColumn id="8" name="CO2/FU"/>
    <tableColumn id="9" name="fraction2"/>
    <tableColumn id="10" name="Check g CO2/MJ"/>
  </tableColumns>
</table>
</file>

<file path=xl/tables/table2.xml><?xml version="1.0" encoding="utf-8"?>
<table xmlns="http://schemas.openxmlformats.org/spreadsheetml/2006/main" id="2" name="Towel_hand_drying_cycle_stage" displayName="Towel_hand_drying_cycle_stage" ref="A4:J20" headerRowCount="1" totalsRowCount="0" totalsRowShown="0">
  <autoFilter ref="A4:J20"/>
  <tableColumns count="10">
    <tableColumn id="1" name="Towel hand drying                        FU= 1 pair of dried hands                            Life Cycle stage"/>
    <tableColumn id="2" name="Quantity per FU"/>
    <tableColumn id="3" name="Unit"/>
    <tableColumn id="4" name="Energy/Unit  [MJ/Unit]"/>
    <tableColumn id="5" name="Energy per FU [MJ/FU]"/>
    <tableColumn id="6" name="fraction"/>
    <tableColumn id="7" name="CO2/Unit [kg/unit]"/>
    <tableColumn id="8" name="CO2/FU"/>
    <tableColumn id="9" name="fraction2"/>
    <tableColumn id="10" name="Check g CO2/MJ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45" colorId="64" zoomScale="80" zoomScaleNormal="80" zoomScalePageLayoutView="100" workbookViewId="0">
      <selection pane="topLeft" activeCell="B43" activeCellId="0" sqref="B43"/>
    </sheetView>
  </sheetViews>
  <sheetFormatPr defaultColWidth="30.6953125" defaultRowHeight="20" zeroHeight="false" outlineLevelRow="0" outlineLevelCol="0"/>
  <cols>
    <col collapsed="false" customWidth="true" hidden="false" outlineLevel="0" max="1" min="1" style="1" width="51.16"/>
    <col collapsed="false" customWidth="true" hidden="false" outlineLevel="0" max="2" min="2" style="1" width="13.01"/>
    <col collapsed="false" customWidth="true" hidden="false" outlineLevel="0" max="3" min="3" style="1" width="13.33"/>
    <col collapsed="false" customWidth="true" hidden="false" outlineLevel="0" max="5" min="4" style="1" width="16.16"/>
    <col collapsed="false" customWidth="true" hidden="false" outlineLevel="0" max="6" min="6" style="1" width="23.66"/>
    <col collapsed="false" customWidth="true" hidden="false" outlineLevel="0" max="7" min="7" style="1" width="15.83"/>
    <col collapsed="false" customWidth="true" hidden="false" outlineLevel="0" max="8" min="8" style="1" width="14.66"/>
    <col collapsed="false" customWidth="true" hidden="false" outlineLevel="0" max="9" min="9" style="1" width="23.66"/>
    <col collapsed="false" customWidth="false" hidden="false" outlineLevel="0" max="10" min="10" style="2" width="30.66"/>
    <col collapsed="false" customWidth="false" hidden="false" outlineLevel="0" max="1024" min="11" style="1" width="30.66"/>
  </cols>
  <sheetData>
    <row r="1" customFormat="false" ht="20" hidden="false" customHeight="false" outlineLevel="0" collapsed="false">
      <c r="A1" s="3" t="s">
        <v>0</v>
      </c>
      <c r="B1" s="4" t="n">
        <v>1000</v>
      </c>
    </row>
    <row r="2" customFormat="false" ht="20" hidden="false" customHeight="false" outlineLevel="0" collapsed="false">
      <c r="A2" s="3" t="s">
        <v>1</v>
      </c>
      <c r="B2" s="4" t="n">
        <v>1000</v>
      </c>
    </row>
    <row r="4" s="10" customFormat="true" ht="63" hidden="false" customHeight="true" outlineLevel="0" collapsed="false">
      <c r="A4" s="5" t="s">
        <v>2</v>
      </c>
      <c r="B4" s="6" t="s">
        <v>3</v>
      </c>
      <c r="C4" s="7" t="s">
        <v>4</v>
      </c>
      <c r="D4" s="6" t="s">
        <v>5</v>
      </c>
      <c r="E4" s="7" t="s">
        <v>6</v>
      </c>
      <c r="F4" s="8" t="s">
        <v>7</v>
      </c>
      <c r="G4" s="6" t="s">
        <v>8</v>
      </c>
      <c r="H4" s="6" t="s">
        <v>9</v>
      </c>
      <c r="I4" s="8" t="s">
        <v>10</v>
      </c>
      <c r="J4" s="9" t="s">
        <v>11</v>
      </c>
    </row>
    <row r="5" customFormat="false" ht="20" hidden="false" customHeight="false" outlineLevel="0" collapsed="false">
      <c r="A5" s="11" t="s">
        <v>12</v>
      </c>
      <c r="B5" s="12"/>
      <c r="C5" s="13"/>
      <c r="D5" s="12"/>
      <c r="E5" s="13"/>
      <c r="F5" s="14"/>
      <c r="G5" s="12"/>
      <c r="H5" s="12"/>
      <c r="I5" s="14"/>
      <c r="J5" s="15"/>
    </row>
    <row r="6" s="21" customFormat="true" ht="20" hidden="false" customHeight="false" outlineLevel="0" collapsed="false">
      <c r="A6" s="16" t="s">
        <v>13</v>
      </c>
      <c r="B6" s="17"/>
      <c r="C6" s="18" t="s">
        <v>14</v>
      </c>
      <c r="D6" s="17"/>
      <c r="E6" s="18"/>
      <c r="F6" s="19" t="e">
        <f aca="false">E6/E$20</f>
        <v>#DIV/0!</v>
      </c>
      <c r="G6" s="17"/>
      <c r="H6" s="17"/>
      <c r="I6" s="19" t="e">
        <f aca="false">H6/H$20</f>
        <v>#DIV/0!</v>
      </c>
      <c r="J6" s="20" t="e">
        <f aca="false">H6/E6*$B$2</f>
        <v>#DIV/0!</v>
      </c>
    </row>
    <row r="7" customFormat="false" ht="20" hidden="false" customHeight="false" outlineLevel="0" collapsed="false">
      <c r="A7" s="22" t="s">
        <v>15</v>
      </c>
      <c r="B7" s="23"/>
      <c r="C7" s="24" t="s">
        <v>14</v>
      </c>
      <c r="D7" s="23"/>
      <c r="E7" s="24"/>
      <c r="F7" s="25" t="e">
        <f aca="false">E7/E$20</f>
        <v>#DIV/0!</v>
      </c>
      <c r="G7" s="23"/>
      <c r="H7" s="23"/>
      <c r="I7" s="25" t="e">
        <f aca="false">H7/H$20</f>
        <v>#DIV/0!</v>
      </c>
      <c r="J7" s="26" t="e">
        <f aca="false">H7/E7*$B$2</f>
        <v>#DIV/0!</v>
      </c>
    </row>
    <row r="8" customFormat="false" ht="20" hidden="false" customHeight="false" outlineLevel="0" collapsed="false">
      <c r="A8" s="11" t="s">
        <v>16</v>
      </c>
      <c r="B8" s="27"/>
      <c r="C8" s="28"/>
      <c r="D8" s="27"/>
      <c r="E8" s="28"/>
      <c r="F8" s="29"/>
      <c r="G8" s="27"/>
      <c r="H8" s="27"/>
      <c r="I8" s="29"/>
      <c r="J8" s="30"/>
    </row>
    <row r="9" customFormat="false" ht="20" hidden="false" customHeight="false" outlineLevel="0" collapsed="false">
      <c r="A9" s="22" t="s">
        <v>17</v>
      </c>
      <c r="B9" s="23"/>
      <c r="C9" s="24" t="s">
        <v>14</v>
      </c>
      <c r="D9" s="23" t="n">
        <v>27.1</v>
      </c>
      <c r="E9" s="24"/>
      <c r="F9" s="25" t="e">
        <f aca="false">E9/E$20</f>
        <v>#DIV/0!</v>
      </c>
      <c r="G9" s="23" t="n">
        <v>1.24</v>
      </c>
      <c r="H9" s="23"/>
      <c r="I9" s="25" t="e">
        <f aca="false">H9/H$20</f>
        <v>#DIV/0!</v>
      </c>
      <c r="J9" s="26" t="e">
        <f aca="false">H9/E9*$B$2</f>
        <v>#DIV/0!</v>
      </c>
    </row>
    <row r="10" customFormat="false" ht="20" hidden="false" customHeight="false" outlineLevel="0" collapsed="false">
      <c r="A10" s="11" t="s">
        <v>18</v>
      </c>
      <c r="B10" s="27"/>
      <c r="C10" s="28"/>
      <c r="D10" s="27"/>
      <c r="E10" s="28"/>
      <c r="F10" s="29"/>
      <c r="G10" s="27"/>
      <c r="H10" s="27"/>
      <c r="I10" s="29"/>
      <c r="J10" s="30"/>
    </row>
    <row r="11" customFormat="false" ht="20" hidden="false" customHeight="false" outlineLevel="0" collapsed="false">
      <c r="A11" s="22" t="s">
        <v>19</v>
      </c>
      <c r="B11" s="17"/>
      <c r="C11" s="24" t="s">
        <v>20</v>
      </c>
      <c r="D11" s="17"/>
      <c r="E11" s="31"/>
      <c r="F11" s="25" t="e">
        <f aca="false">E11/E$20</f>
        <v>#DIV/0!</v>
      </c>
      <c r="G11" s="17"/>
      <c r="H11" s="23"/>
      <c r="I11" s="25" t="e">
        <f aca="false">H11/H$20</f>
        <v>#DIV/0!</v>
      </c>
      <c r="J11" s="26" t="e">
        <f aca="false">H11/E11*$B$2</f>
        <v>#DIV/0!</v>
      </c>
    </row>
    <row r="12" customFormat="false" ht="20" hidden="false" customHeight="false" outlineLevel="0" collapsed="false">
      <c r="A12" s="22" t="s">
        <v>21</v>
      </c>
      <c r="B12" s="17"/>
      <c r="C12" s="24" t="s">
        <v>20</v>
      </c>
      <c r="D12" s="17"/>
      <c r="E12" s="31"/>
      <c r="F12" s="25" t="e">
        <f aca="false">E12/E$20</f>
        <v>#DIV/0!</v>
      </c>
      <c r="G12" s="17"/>
      <c r="H12" s="23"/>
      <c r="I12" s="25" t="e">
        <f aca="false">H12/H$20</f>
        <v>#DIV/0!</v>
      </c>
      <c r="J12" s="26" t="e">
        <f aca="false">H12/E12*$B$2</f>
        <v>#DIV/0!</v>
      </c>
    </row>
    <row r="13" customFormat="false" ht="20" hidden="false" customHeight="false" outlineLevel="0" collapsed="false">
      <c r="A13" s="11" t="s">
        <v>22</v>
      </c>
      <c r="B13" s="27"/>
      <c r="C13" s="28"/>
      <c r="D13" s="27"/>
      <c r="E13" s="28"/>
      <c r="F13" s="29"/>
      <c r="G13" s="27"/>
      <c r="H13" s="27"/>
      <c r="I13" s="29"/>
      <c r="J13" s="30"/>
    </row>
    <row r="14" customFormat="false" ht="20" hidden="false" customHeight="false" outlineLevel="0" collapsed="false">
      <c r="A14" s="22" t="s">
        <v>23</v>
      </c>
      <c r="B14" s="17"/>
      <c r="C14" s="24"/>
      <c r="D14" s="23"/>
      <c r="E14" s="32"/>
      <c r="F14" s="33" t="e">
        <f aca="false">E14/E$20</f>
        <v>#DIV/0!</v>
      </c>
      <c r="G14" s="23"/>
      <c r="H14" s="34"/>
      <c r="I14" s="25" t="e">
        <f aca="false">H14/H$20</f>
        <v>#DIV/0!</v>
      </c>
      <c r="J14" s="26" t="e">
        <f aca="false">H14/E14*$B$2</f>
        <v>#DIV/0!</v>
      </c>
    </row>
    <row r="15" customFormat="false" ht="20" hidden="false" customHeight="false" outlineLevel="0" collapsed="false">
      <c r="A15" s="11" t="s">
        <v>24</v>
      </c>
      <c r="B15" s="27"/>
      <c r="C15" s="28"/>
      <c r="D15" s="27"/>
      <c r="E15" s="28"/>
      <c r="F15" s="29"/>
      <c r="G15" s="27"/>
      <c r="H15" s="27"/>
      <c r="I15" s="29"/>
      <c r="J15" s="30"/>
    </row>
    <row r="16" customFormat="false" ht="20" hidden="false" customHeight="false" outlineLevel="0" collapsed="false">
      <c r="A16" s="35" t="s">
        <v>15</v>
      </c>
      <c r="B16" s="23"/>
      <c r="C16" s="24" t="s">
        <v>14</v>
      </c>
      <c r="D16" s="23"/>
      <c r="E16" s="24"/>
      <c r="F16" s="25" t="e">
        <f aca="false">E16/E$20</f>
        <v>#DIV/0!</v>
      </c>
      <c r="G16" s="23"/>
      <c r="H16" s="23"/>
      <c r="I16" s="25" t="e">
        <f aca="false">H16/H$20</f>
        <v>#DIV/0!</v>
      </c>
      <c r="J16" s="26" t="e">
        <f aca="false">H16/E16*$B$2</f>
        <v>#DIV/0!</v>
      </c>
    </row>
    <row r="17" customFormat="false" ht="20" hidden="false" customHeight="false" outlineLevel="0" collapsed="false">
      <c r="A17" s="22" t="s">
        <v>25</v>
      </c>
      <c r="B17" s="23"/>
      <c r="C17" s="24" t="s">
        <v>14</v>
      </c>
      <c r="D17" s="23"/>
      <c r="E17" s="24"/>
      <c r="F17" s="25" t="e">
        <f aca="false">E17/E$20</f>
        <v>#DIV/0!</v>
      </c>
      <c r="G17" s="23"/>
      <c r="H17" s="23"/>
      <c r="I17" s="25"/>
      <c r="J17" s="26"/>
    </row>
    <row r="18" customFormat="false" ht="20" hidden="false" customHeight="false" outlineLevel="0" collapsed="false">
      <c r="A18" s="36" t="s">
        <v>26</v>
      </c>
      <c r="B18" s="23"/>
      <c r="C18" s="24" t="s">
        <v>27</v>
      </c>
      <c r="D18" s="23" t="n">
        <v>-12.1</v>
      </c>
      <c r="E18" s="24" t="n">
        <f aca="false">D18*$B18</f>
        <v>-0</v>
      </c>
      <c r="F18" s="25" t="e">
        <f aca="false">E18/E$20</f>
        <v>#DIV/0!</v>
      </c>
      <c r="G18" s="37" t="n">
        <v>-0.71</v>
      </c>
      <c r="H18" s="37" t="n">
        <f aca="false">G18*$B18</f>
        <v>-0</v>
      </c>
      <c r="I18" s="25" t="e">
        <f aca="false">H18/H$20</f>
        <v>#DIV/0!</v>
      </c>
      <c r="J18" s="26" t="e">
        <f aca="false">H18/E18*$B$2</f>
        <v>#DIV/0!</v>
      </c>
    </row>
    <row r="19" customFormat="false" ht="20" hidden="false" customHeight="false" outlineLevel="0" collapsed="false">
      <c r="A19" s="11" t="s">
        <v>28</v>
      </c>
      <c r="B19" s="38"/>
      <c r="C19" s="39"/>
      <c r="D19" s="40"/>
      <c r="E19" s="39"/>
      <c r="F19" s="41"/>
      <c r="G19" s="27"/>
      <c r="H19" s="27"/>
      <c r="I19" s="29"/>
      <c r="J19" s="30"/>
    </row>
    <row r="20" customFormat="false" ht="20" hidden="false" customHeight="false" outlineLevel="0" collapsed="false">
      <c r="A20" s="22" t="s">
        <v>28</v>
      </c>
      <c r="B20" s="23"/>
      <c r="C20" s="24" t="s">
        <v>23</v>
      </c>
      <c r="D20" s="23"/>
      <c r="E20" s="42" t="n">
        <f aca="false">SUM(E6:E18)</f>
        <v>0</v>
      </c>
      <c r="F20" s="43" t="e">
        <f aca="false">E20/E$20</f>
        <v>#DIV/0!</v>
      </c>
      <c r="G20" s="44"/>
      <c r="H20" s="45" t="n">
        <f aca="false">SUM(H6:H18)</f>
        <v>0</v>
      </c>
      <c r="I20" s="43" t="e">
        <f aca="false">H20/H$20</f>
        <v>#DIV/0!</v>
      </c>
      <c r="J20" s="26" t="e">
        <f aca="false">H20/E20*$B$2</f>
        <v>#DIV/0!</v>
      </c>
    </row>
    <row r="21" customFormat="false" ht="20" hidden="false" customHeight="false" outlineLevel="0" collapsed="false">
      <c r="C21" s="46"/>
      <c r="D21" s="46"/>
      <c r="E21" s="46"/>
      <c r="F21" s="46"/>
      <c r="G21" s="46"/>
      <c r="H21" s="46"/>
      <c r="I21" s="46"/>
    </row>
    <row r="22" customFormat="false" ht="20" hidden="false" customHeight="false" outlineLevel="0" collapsed="false">
      <c r="C22" s="46"/>
      <c r="D22" s="46"/>
      <c r="E22" s="46"/>
      <c r="F22" s="46"/>
      <c r="G22" s="46"/>
      <c r="H22" s="46"/>
      <c r="I22" s="46"/>
    </row>
    <row r="23" customFormat="false" ht="43" hidden="false" customHeight="false" outlineLevel="0" collapsed="false">
      <c r="A23" s="5" t="s">
        <v>29</v>
      </c>
      <c r="B23" s="6" t="s">
        <v>3</v>
      </c>
      <c r="C23" s="7" t="s">
        <v>4</v>
      </c>
      <c r="D23" s="6" t="s">
        <v>5</v>
      </c>
      <c r="E23" s="7" t="s">
        <v>6</v>
      </c>
      <c r="F23" s="8" t="s">
        <v>7</v>
      </c>
      <c r="G23" s="6" t="s">
        <v>8</v>
      </c>
      <c r="H23" s="6" t="s">
        <v>9</v>
      </c>
      <c r="I23" s="8" t="s">
        <v>10</v>
      </c>
      <c r="J23" s="9" t="s">
        <v>11</v>
      </c>
    </row>
    <row r="24" customFormat="false" ht="20" hidden="false" customHeight="false" outlineLevel="0" collapsed="false">
      <c r="A24" s="11" t="s">
        <v>12</v>
      </c>
      <c r="B24" s="12"/>
      <c r="C24" s="13"/>
      <c r="D24" s="12"/>
      <c r="E24" s="13"/>
      <c r="F24" s="14"/>
      <c r="G24" s="12"/>
      <c r="H24" s="12"/>
      <c r="I24" s="14"/>
      <c r="J24" s="15"/>
    </row>
    <row r="25" customFormat="false" ht="20" hidden="false" customHeight="false" outlineLevel="0" collapsed="false">
      <c r="A25" s="22" t="s">
        <v>30</v>
      </c>
      <c r="B25" s="23"/>
      <c r="C25" s="24" t="s">
        <v>14</v>
      </c>
      <c r="D25" s="23"/>
      <c r="E25" s="24"/>
      <c r="F25" s="25" t="e">
        <f aca="false">E25/E$20</f>
        <v>#DIV/0!</v>
      </c>
      <c r="G25" s="23"/>
      <c r="H25" s="23"/>
      <c r="I25" s="25" t="e">
        <f aca="false">H25/H$20</f>
        <v>#DIV/0!</v>
      </c>
      <c r="J25" s="26" t="e">
        <f aca="false">H25/E25*$B$2</f>
        <v>#DIV/0!</v>
      </c>
    </row>
    <row r="26" customFormat="false" ht="20" hidden="false" customHeight="false" outlineLevel="0" collapsed="false">
      <c r="A26" s="22" t="s">
        <v>31</v>
      </c>
      <c r="B26" s="23"/>
      <c r="C26" s="24" t="s">
        <v>14</v>
      </c>
      <c r="D26" s="23"/>
      <c r="E26" s="24"/>
      <c r="F26" s="25"/>
      <c r="G26" s="23"/>
      <c r="H26" s="23"/>
      <c r="I26" s="25"/>
      <c r="J26" s="26"/>
    </row>
    <row r="27" customFormat="false" ht="20" hidden="false" customHeight="false" outlineLevel="0" collapsed="false">
      <c r="A27" s="11" t="s">
        <v>16</v>
      </c>
      <c r="B27" s="27"/>
      <c r="C27" s="28"/>
      <c r="D27" s="27"/>
      <c r="E27" s="28"/>
      <c r="F27" s="29"/>
      <c r="G27" s="27"/>
      <c r="H27" s="27"/>
      <c r="I27" s="29"/>
      <c r="J27" s="30"/>
    </row>
    <row r="28" customFormat="false" ht="20" hidden="false" customHeight="false" outlineLevel="0" collapsed="false">
      <c r="A28" s="22" t="s">
        <v>32</v>
      </c>
      <c r="B28" s="23"/>
      <c r="C28" s="24" t="s">
        <v>14</v>
      </c>
      <c r="D28" s="23" t="n">
        <v>27.1</v>
      </c>
      <c r="E28" s="24"/>
      <c r="F28" s="25" t="e">
        <f aca="false">E28/E$20</f>
        <v>#DIV/0!</v>
      </c>
      <c r="G28" s="23" t="n">
        <v>1.24</v>
      </c>
      <c r="H28" s="23"/>
      <c r="I28" s="25" t="e">
        <f aca="false">H28/H$20</f>
        <v>#DIV/0!</v>
      </c>
      <c r="J28" s="26" t="e">
        <f aca="false">H28/E28*$B$2</f>
        <v>#DIV/0!</v>
      </c>
    </row>
    <row r="29" customFormat="false" ht="20" hidden="false" customHeight="false" outlineLevel="0" collapsed="false">
      <c r="A29" s="11" t="s">
        <v>18</v>
      </c>
      <c r="B29" s="27"/>
      <c r="C29" s="28"/>
      <c r="D29" s="27"/>
      <c r="E29" s="28"/>
      <c r="F29" s="29"/>
      <c r="G29" s="27"/>
      <c r="H29" s="27"/>
      <c r="I29" s="29"/>
      <c r="J29" s="30"/>
    </row>
    <row r="30" customFormat="false" ht="20" hidden="false" customHeight="false" outlineLevel="0" collapsed="false">
      <c r="A30" s="22" t="s">
        <v>33</v>
      </c>
      <c r="B30" s="17"/>
      <c r="C30" s="24" t="s">
        <v>20</v>
      </c>
      <c r="D30" s="17"/>
      <c r="E30" s="31"/>
      <c r="F30" s="25" t="e">
        <f aca="false">E30/E$20</f>
        <v>#DIV/0!</v>
      </c>
      <c r="G30" s="17"/>
      <c r="H30" s="23"/>
      <c r="I30" s="25" t="e">
        <f aca="false">H30/H$20</f>
        <v>#DIV/0!</v>
      </c>
      <c r="J30" s="26" t="e">
        <f aca="false">H30/E30*$B$2</f>
        <v>#DIV/0!</v>
      </c>
    </row>
    <row r="31" customFormat="false" ht="20" hidden="false" customHeight="false" outlineLevel="0" collapsed="false">
      <c r="A31" s="11" t="s">
        <v>22</v>
      </c>
      <c r="B31" s="27"/>
      <c r="C31" s="28"/>
      <c r="D31" s="27"/>
      <c r="E31" s="28"/>
      <c r="F31" s="29"/>
      <c r="G31" s="27"/>
      <c r="H31" s="27"/>
      <c r="I31" s="29"/>
      <c r="J31" s="30"/>
    </row>
    <row r="32" customFormat="false" ht="20" hidden="false" customHeight="false" outlineLevel="0" collapsed="false">
      <c r="A32" s="22" t="s">
        <v>34</v>
      </c>
      <c r="B32" s="17"/>
      <c r="C32" s="24" t="s">
        <v>27</v>
      </c>
      <c r="D32" s="23"/>
      <c r="E32" s="32"/>
      <c r="F32" s="33" t="e">
        <f aca="false">E32/E$20</f>
        <v>#DIV/0!</v>
      </c>
      <c r="G32" s="23"/>
      <c r="H32" s="34"/>
      <c r="I32" s="25" t="e">
        <f aca="false">H32/H$20</f>
        <v>#DIV/0!</v>
      </c>
      <c r="J32" s="26" t="e">
        <f aca="false">H32/E32*$B$2</f>
        <v>#DIV/0!</v>
      </c>
    </row>
    <row r="33" customFormat="false" ht="20" hidden="false" customHeight="false" outlineLevel="0" collapsed="false">
      <c r="A33" s="11" t="s">
        <v>24</v>
      </c>
      <c r="B33" s="27"/>
      <c r="C33" s="28"/>
      <c r="D33" s="27"/>
      <c r="E33" s="28"/>
      <c r="F33" s="29"/>
      <c r="G33" s="27"/>
      <c r="H33" s="27"/>
      <c r="I33" s="29"/>
      <c r="J33" s="30"/>
    </row>
    <row r="34" customFormat="false" ht="20" hidden="false" customHeight="false" outlineLevel="0" collapsed="false">
      <c r="A34" s="35" t="s">
        <v>35</v>
      </c>
      <c r="B34" s="23"/>
      <c r="C34" s="24" t="s">
        <v>14</v>
      </c>
      <c r="D34" s="23"/>
      <c r="E34" s="24"/>
      <c r="F34" s="25" t="e">
        <f aca="false">E34/E$20</f>
        <v>#DIV/0!</v>
      </c>
      <c r="G34" s="23"/>
      <c r="H34" s="23"/>
      <c r="I34" s="25" t="e">
        <f aca="false">H34/H$20</f>
        <v>#DIV/0!</v>
      </c>
      <c r="J34" s="26" t="e">
        <f aca="false">H34/E34*$B$2</f>
        <v>#DIV/0!</v>
      </c>
    </row>
    <row r="35" customFormat="false" ht="20" hidden="false" customHeight="false" outlineLevel="0" collapsed="false">
      <c r="A35" s="11" t="s">
        <v>28</v>
      </c>
      <c r="B35" s="38"/>
      <c r="C35" s="39"/>
      <c r="D35" s="40"/>
      <c r="E35" s="39"/>
      <c r="F35" s="41"/>
      <c r="G35" s="27"/>
      <c r="H35" s="27"/>
      <c r="I35" s="29"/>
      <c r="J35" s="30"/>
    </row>
    <row r="36" customFormat="false" ht="20" hidden="false" customHeight="false" outlineLevel="0" collapsed="false">
      <c r="A36" s="22" t="s">
        <v>28</v>
      </c>
      <c r="B36" s="23"/>
      <c r="C36" s="24" t="s">
        <v>23</v>
      </c>
      <c r="D36" s="23"/>
      <c r="E36" s="42" t="n">
        <f aca="false">SUM(E25:E34)</f>
        <v>0</v>
      </c>
      <c r="F36" s="43" t="e">
        <f aca="false">E36/E$20</f>
        <v>#DIV/0!</v>
      </c>
      <c r="G36" s="44"/>
      <c r="H36" s="45" t="n">
        <f aca="false">SUM(H25:H34)</f>
        <v>0</v>
      </c>
      <c r="I36" s="43" t="e">
        <f aca="false">H36/H$20</f>
        <v>#DIV/0!</v>
      </c>
      <c r="J36" s="26" t="e">
        <f aca="false">H36/E36*$B$2</f>
        <v>#DIV/0!</v>
      </c>
    </row>
    <row r="38" customFormat="false" ht="20" hidden="false" customHeight="false" outlineLevel="0" collapsed="false">
      <c r="A38" s="47" t="s">
        <v>36</v>
      </c>
      <c r="B38" s="48"/>
      <c r="C38" s="48"/>
      <c r="D38" s="48"/>
      <c r="E38" s="48"/>
      <c r="F38" s="48"/>
    </row>
    <row r="39" customFormat="false" ht="21" hidden="false" customHeight="false" outlineLevel="0" collapsed="false">
      <c r="A39" s="49" t="s">
        <v>37</v>
      </c>
      <c r="B39" s="49"/>
      <c r="C39" s="49"/>
      <c r="D39" s="49"/>
      <c r="E39" s="49"/>
      <c r="F39" s="49"/>
    </row>
    <row r="40" customFormat="false" ht="21" hidden="false" customHeight="false" outlineLevel="0" collapsed="false">
      <c r="A40" s="49" t="s">
        <v>38</v>
      </c>
      <c r="B40" s="49"/>
      <c r="C40" s="49"/>
      <c r="D40" s="49"/>
      <c r="E40" s="49"/>
      <c r="F40" s="49"/>
    </row>
    <row r="41" customFormat="false" ht="21" hidden="false" customHeight="false" outlineLevel="0" collapsed="false">
      <c r="A41" s="49" t="s">
        <v>39</v>
      </c>
      <c r="B41" s="49"/>
      <c r="C41" s="49"/>
      <c r="D41" s="49"/>
      <c r="E41" s="49"/>
      <c r="F41" s="49"/>
    </row>
    <row r="42" customFormat="false" ht="21" hidden="false" customHeight="false" outlineLevel="0" collapsed="false">
      <c r="A42" s="49" t="s">
        <v>40</v>
      </c>
      <c r="B42" s="49"/>
      <c r="C42" s="49"/>
      <c r="D42" s="49"/>
      <c r="E42" s="49"/>
      <c r="F42" s="49"/>
    </row>
    <row r="43" customFormat="false" ht="63" hidden="false" customHeight="false" outlineLevel="0" collapsed="false">
      <c r="A43" s="49" t="s">
        <v>41</v>
      </c>
      <c r="B43" s="49"/>
      <c r="C43" s="49"/>
      <c r="D43" s="49"/>
      <c r="E43" s="49"/>
      <c r="F43" s="49"/>
    </row>
    <row r="44" customFormat="false" ht="20" hidden="false" customHeight="false" outlineLevel="0" collapsed="false">
      <c r="A44" s="50"/>
      <c r="B44" s="51"/>
      <c r="C44" s="51"/>
      <c r="D44" s="51"/>
      <c r="E44" s="51"/>
      <c r="F44" s="51"/>
    </row>
  </sheetData>
  <mergeCells count="7"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LibreOffice/7.2.4.1$MacOSX_X86_64 LibreOffice_project/27d75539669ac387bb498e35313b970b7fe9c4f9</Application>
  <AppVersion>15.0000</AppVersion>
  <Company>University of Michigan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2018-03-14T16:19:16Z</dcterms:created>
  <dc:creator>Olivier Jolliet</dc:creator>
  <dc:description/>
  <dc:language>en-US</dc:language>
  <cp:lastModifiedBy>Microsoft Office User</cp:lastModifiedBy>
  <dcterms:modified xsi:type="dcterms:W3CDTF">2022-03-10T16:17:20Z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