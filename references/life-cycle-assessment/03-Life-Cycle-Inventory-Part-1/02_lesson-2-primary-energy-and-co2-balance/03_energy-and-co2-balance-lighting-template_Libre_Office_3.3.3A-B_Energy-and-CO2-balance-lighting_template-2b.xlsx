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andescent bulb lighting" sheetId="1" state="visible" r:id="rId2"/>
    <sheet name="Tungsten coil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<sst xmlns="http://schemas.openxmlformats.org/spreadsheetml/2006/main" count="54" uniqueCount="45">
  <si>
    <t xml:space="preserve">Life Cycle stage</t>
  </si>
  <si>
    <t xml:space="preserve">Quantity per FU = per 800 lumen over 5,000 hours</t>
  </si>
  <si>
    <t xml:space="preserve">Unit</t>
  </si>
  <si>
    <t xml:space="preserve">Energy/Unit  [MJ/Unit]</t>
  </si>
  <si>
    <t xml:space="preserve">Energy per FU [MJ/FU]</t>
  </si>
  <si>
    <t xml:space="preserve">fraction</t>
  </si>
  <si>
    <r>
      <rPr>
        <sz val="16"/>
        <color rgb="FF000000"/>
        <rFont val="Arial"/>
        <family val="2"/>
        <charset val="1"/>
      </rPr>
      <t xml:space="preserve">CO</t>
    </r>
    <r>
      <rPr>
        <vertAlign val="subscript"/>
        <sz val="16"/>
        <color rgb="FF000000"/>
        <rFont val="Arial"/>
        <family val="2"/>
        <charset val="1"/>
      </rPr>
      <t xml:space="preserve">2</t>
    </r>
    <r>
      <rPr>
        <sz val="16"/>
        <color rgb="FF000000"/>
        <rFont val="Arial"/>
        <family val="2"/>
        <charset val="1"/>
      </rPr>
      <t xml:space="preserve">/Unit [kg/unit]</t>
    </r>
  </si>
  <si>
    <r>
      <rPr>
        <sz val="16"/>
        <color rgb="FF000000"/>
        <rFont val="Arial"/>
        <family val="2"/>
        <charset val="1"/>
      </rPr>
      <t xml:space="preserve">CO</t>
    </r>
    <r>
      <rPr>
        <vertAlign val="subscript"/>
        <sz val="16"/>
        <color rgb="FF000000"/>
        <rFont val="Arial"/>
        <family val="2"/>
        <charset val="1"/>
      </rPr>
      <t xml:space="preserve">2</t>
    </r>
    <r>
      <rPr>
        <sz val="16"/>
        <color rgb="FF000000"/>
        <rFont val="Arial"/>
        <family val="2"/>
        <charset val="1"/>
      </rPr>
      <t xml:space="preserve">/FU     [kg/FU]</t>
    </r>
  </si>
  <si>
    <t xml:space="preserve">fraction2</t>
  </si>
  <si>
    <r>
      <rPr>
        <sz val="16"/>
        <color rgb="FF000000"/>
        <rFont val="Arial"/>
        <family val="2"/>
        <charset val="1"/>
      </rPr>
      <t xml:space="preserve">Check g CO</t>
    </r>
    <r>
      <rPr>
        <vertAlign val="subscript"/>
        <sz val="16"/>
        <color rgb="FF000000"/>
        <rFont val="Arial"/>
        <family val="2"/>
        <charset val="1"/>
      </rPr>
      <t xml:space="preserve">2</t>
    </r>
    <r>
      <rPr>
        <sz val="16"/>
        <color rgb="FF000000"/>
        <rFont val="Arial"/>
        <family val="2"/>
        <charset val="1"/>
      </rPr>
      <t xml:space="preserve">/MJ</t>
    </r>
  </si>
  <si>
    <t xml:space="preserve">Materials</t>
  </si>
  <si>
    <t xml:space="preserve">Glass (20g/bulb)</t>
  </si>
  <si>
    <t xml:space="preserve">kg</t>
  </si>
  <si>
    <t xml:space="preserve">Aluminum (15g/bulb)</t>
  </si>
  <si>
    <t xml:space="preserve">Tungsten (0.7g/bulb)</t>
  </si>
  <si>
    <t xml:space="preserve">Packaging (10g/bulb)</t>
  </si>
  <si>
    <t xml:space="preserve">Processing</t>
  </si>
  <si>
    <t xml:space="preserve">Bulb manufacturing</t>
  </si>
  <si>
    <t xml:space="preserve">bulb</t>
  </si>
  <si>
    <t xml:space="preserve">Transportation bulb + packaging</t>
  </si>
  <si>
    <t xml:space="preserve">Truck 3200 km</t>
  </si>
  <si>
    <t xml:space="preserve">t.km</t>
  </si>
  <si>
    <t xml:space="preserve">Freight 10000 km</t>
  </si>
  <si>
    <t xml:space="preserve">Use phase</t>
  </si>
  <si>
    <t xml:space="preserve">Electricity lighting</t>
  </si>
  <si>
    <t xml:space="preserve">kWh</t>
  </si>
  <si>
    <t xml:space="preserve">Disposal</t>
  </si>
  <si>
    <t xml:space="preserve">Packaging</t>
  </si>
  <si>
    <t xml:space="preserve">Bulb</t>
  </si>
  <si>
    <t xml:space="preserve">Total</t>
  </si>
  <si>
    <t xml:space="preserve">kg/t conversion factor</t>
  </si>
  <si>
    <t xml:space="preserve">g/kg</t>
  </si>
  <si>
    <t xml:space="preserve">Tungsten coil</t>
  </si>
  <si>
    <t xml:space="preserve">Column1</t>
  </si>
  <si>
    <t xml:space="preserve">Density</t>
  </si>
  <si>
    <t xml:space="preserve">Length</t>
  </si>
  <si>
    <t xml:space="preserve">diameter</t>
  </si>
  <si>
    <t xml:space="preserve">Volume</t>
  </si>
  <si>
    <t xml:space="preserve">Weight</t>
  </si>
  <si>
    <t xml:space="preserve">Final weight per bulb</t>
  </si>
  <si>
    <t xml:space="preserve">Pi</t>
  </si>
  <si>
    <t xml:space="preserve">kg/m3</t>
  </si>
  <si>
    <t xml:space="preserve">m</t>
  </si>
  <si>
    <t xml:space="preserve">m3</t>
  </si>
  <si>
    <t xml:space="preserve">g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</si>
</sst>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%"/>
    <numFmt numFmtId="167" formatCode="0.000"/>
    <numFmt numFmtId="168" formatCode="General"/>
    <numFmt numFmtId="169" formatCode="0.00"/>
    <numFmt numFmtId="170" formatCode="0.00E+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Arial"/>
      <family val="2"/>
      <charset val="1"/>
    </font>
    <font>
      <vertAlign val="subscript"/>
      <sz val="16"/>
      <color rgb="FF000000"/>
      <name val="Arial"/>
      <family val="2"/>
      <charset val="1"/>
    </font>
    <font>
      <sz val="16"/>
      <color rgb="FFFF0000"/>
      <name val="Arial"/>
      <family val="2"/>
      <charset val="1"/>
    </font>
    <font>
      <sz val="16"/>
      <name val="Arial"/>
      <family val="2"/>
      <charset val="1"/>
    </font>
    <font>
      <b val="true"/>
      <sz val="16"/>
      <color rgb="FF000000"/>
      <name val="Arial"/>
      <family val="2"/>
      <charset val="1"/>
    </font>
    <font>
      <b val="true"/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  <fill>
      <patternFill patternType="solid">
        <fgColor rgb="FFFBE5D6"/>
        <bgColor rgb="FFFFFF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0CECE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ife_Cycle_Stage" displayName="Life_Cycle_Stage" ref="A1:J18" headerRowCount="1" totalsRowCount="0" totalsRowShown="0">
  <autoFilter ref="A1:J18"/>
  <tableColumns count="10">
    <tableColumn id="1" name="Life Cycle stage"/>
    <tableColumn id="2" name="Quantity per FU = per 800 lumen over 5,000 hours"/>
    <tableColumn id="3" name="Unit"/>
    <tableColumn id="4" name="Energy/Unit  [MJ/Unit]"/>
    <tableColumn id="5" name="Energy per FU [MJ/FU]"/>
    <tableColumn id="6" name="fraction"/>
    <tableColumn id="7" name="CO2/Unit [kg/unit]"/>
    <tableColumn id="8" name="CO2/FU     [kg/FU]"/>
    <tableColumn id="9" name="fraction2"/>
    <tableColumn id="10" name="Check g CO2/MJ"/>
  </tableColumns>
</table>
</file>

<file path=xl/tables/table2.xml><?xml version="1.0" encoding="utf-8"?>
<table xmlns="http://schemas.openxmlformats.org/spreadsheetml/2006/main" id="2" name="Table3" displayName="Table3" ref="A2:G4" headerRowCount="1" totalsRowCount="0" totalsRowShown="0">
  <autoFilter ref="A2:G4"/>
  <tableColumns count="7">
    <tableColumn id="1" name="Column1"/>
    <tableColumn id="2" name="Density"/>
    <tableColumn id="3" name="Length"/>
    <tableColumn id="4" name="diameter"/>
    <tableColumn id="5" name="Volume"/>
    <tableColumn id="6" name="Weight"/>
    <tableColumn id="7" name="Final weight per bulb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D1" colorId="64" zoomScale="55" zoomScaleNormal="55" zoomScalePageLayoutView="100" workbookViewId="0">
      <selection pane="topLeft" activeCell="K6" activeCellId="0" sqref="K6"/>
    </sheetView>
  </sheetViews>
  <sheetFormatPr defaultColWidth="30.6953125" defaultRowHeight="20" zeroHeight="false" outlineLevelRow="0" outlineLevelCol="0"/>
  <cols>
    <col collapsed="false" customWidth="true" hidden="false" outlineLevel="0" max="1" min="1" style="1" width="46.33"/>
    <col collapsed="false" customWidth="true" hidden="false" outlineLevel="0" max="2" min="2" style="1" width="27.16"/>
    <col collapsed="false" customWidth="true" hidden="false" outlineLevel="0" max="3" min="3" style="1" width="13.33"/>
    <col collapsed="false" customWidth="true" hidden="false" outlineLevel="0" max="4" min="4" style="1" width="16.16"/>
    <col collapsed="false" customWidth="true" hidden="false" outlineLevel="0" max="5" min="5" style="1" width="16.83"/>
    <col collapsed="false" customWidth="true" hidden="false" outlineLevel="0" max="6" min="6" style="1" width="13.01"/>
    <col collapsed="false" customWidth="true" hidden="false" outlineLevel="0" max="7" min="7" style="1" width="15.34"/>
    <col collapsed="false" customWidth="true" hidden="false" outlineLevel="0" max="8" min="8" style="1" width="14.16"/>
    <col collapsed="false" customWidth="true" hidden="false" outlineLevel="0" max="9" min="9" style="1" width="12.33"/>
    <col collapsed="false" customWidth="true" hidden="false" outlineLevel="0" max="10" min="10" style="2" width="16.83"/>
    <col collapsed="false" customWidth="false" hidden="false" outlineLevel="0" max="1024" min="11" style="1" width="30.66"/>
  </cols>
  <sheetData>
    <row r="1" s="10" customFormat="true" ht="63" hidden="false" customHeight="tru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8" t="s">
        <v>8</v>
      </c>
      <c r="J1" s="9" t="s">
        <v>9</v>
      </c>
    </row>
    <row r="2" customFormat="false" ht="20" hidden="false" customHeight="false" outlineLevel="0" collapsed="false">
      <c r="A2" s="11" t="s">
        <v>10</v>
      </c>
      <c r="B2" s="12"/>
      <c r="C2" s="13"/>
      <c r="D2" s="12"/>
      <c r="E2" s="13"/>
      <c r="F2" s="14"/>
      <c r="G2" s="12"/>
      <c r="H2" s="12"/>
      <c r="I2" s="14"/>
      <c r="J2" s="15"/>
    </row>
    <row r="3" customFormat="false" ht="20" hidden="false" customHeight="false" outlineLevel="0" collapsed="false">
      <c r="A3" s="16" t="s">
        <v>11</v>
      </c>
      <c r="B3" s="17"/>
      <c r="C3" s="18" t="s">
        <v>12</v>
      </c>
      <c r="D3" s="17"/>
      <c r="E3" s="19"/>
      <c r="F3" s="20" t="n">
        <f aca="false">E3/E$18</f>
        <v>0</v>
      </c>
      <c r="G3" s="21" t="n">
        <v>0.63</v>
      </c>
      <c r="H3" s="17"/>
      <c r="I3" s="22" t="n">
        <f aca="false">H3/H$18</f>
        <v>0</v>
      </c>
      <c r="J3" s="23" t="e">
        <f aca="false">H3/E3*$B$20</f>
        <v>#DIV/0!</v>
      </c>
    </row>
    <row r="4" customFormat="false" ht="20" hidden="false" customHeight="false" outlineLevel="0" collapsed="false">
      <c r="A4" s="16" t="s">
        <v>13</v>
      </c>
      <c r="B4" s="21" t="n">
        <f aca="false">0.015*5</f>
        <v>0.075</v>
      </c>
      <c r="C4" s="18" t="s">
        <v>12</v>
      </c>
      <c r="D4" s="21" t="n">
        <v>160</v>
      </c>
      <c r="E4" s="18" t="n">
        <f aca="false">D4*$B4</f>
        <v>12</v>
      </c>
      <c r="F4" s="22" t="n">
        <f aca="false">E4/E$18</f>
        <v>0.832106265517482</v>
      </c>
      <c r="G4" s="21" t="n">
        <v>9.5</v>
      </c>
      <c r="H4" s="21" t="n">
        <f aca="false">G4*$B4</f>
        <v>0.7125</v>
      </c>
      <c r="I4" s="22" t="n">
        <f aca="false">H4/H$18</f>
        <v>0.816193274567418</v>
      </c>
      <c r="J4" s="23" t="n">
        <f aca="false">H4/E4*$B$20</f>
        <v>59.375</v>
      </c>
    </row>
    <row r="5" customFormat="false" ht="20" hidden="false" customHeight="false" outlineLevel="0" collapsed="false">
      <c r="A5" s="16" t="s">
        <v>14</v>
      </c>
      <c r="B5" s="21" t="n">
        <f aca="false">0.0007*5</f>
        <v>0.0035</v>
      </c>
      <c r="C5" s="18" t="s">
        <v>12</v>
      </c>
      <c r="D5" s="21" t="n">
        <v>133</v>
      </c>
      <c r="E5" s="24" t="n">
        <f aca="false">D5*$B5</f>
        <v>0.4655</v>
      </c>
      <c r="F5" s="22" t="n">
        <f aca="false">E5/E$18</f>
        <v>0.032278788883199</v>
      </c>
      <c r="G5" s="21" t="n">
        <v>12.6</v>
      </c>
      <c r="H5" s="21" t="n">
        <f aca="false">G5*$B5</f>
        <v>0.0441</v>
      </c>
      <c r="I5" s="22" t="n">
        <f aca="false">H5/H$18</f>
        <v>0.0505180679416465</v>
      </c>
      <c r="J5" s="23" t="n">
        <f aca="false">H5/E5*$B$20</f>
        <v>94.7368421052632</v>
      </c>
    </row>
    <row r="6" customFormat="false" ht="20" hidden="false" customHeight="false" outlineLevel="0" collapsed="false">
      <c r="A6" s="16" t="s">
        <v>15</v>
      </c>
      <c r="B6" s="25"/>
      <c r="C6" s="18" t="s">
        <v>12</v>
      </c>
      <c r="D6" s="17"/>
      <c r="E6" s="24" t="n">
        <f aca="false">D6*$B6</f>
        <v>0</v>
      </c>
      <c r="F6" s="22" t="n">
        <f aca="false">E6/E$18</f>
        <v>0</v>
      </c>
      <c r="G6" s="21" t="n">
        <v>1</v>
      </c>
      <c r="H6" s="21" t="n">
        <f aca="false">G6*$B6</f>
        <v>0</v>
      </c>
      <c r="I6" s="22" t="n">
        <f aca="false">H6/H$18</f>
        <v>0</v>
      </c>
      <c r="J6" s="23" t="e">
        <f aca="false">H6/E6*$B$20</f>
        <v>#DIV/0!</v>
      </c>
    </row>
    <row r="7" customFormat="false" ht="20" hidden="false" customHeight="false" outlineLevel="0" collapsed="false">
      <c r="A7" s="11" t="s">
        <v>16</v>
      </c>
      <c r="B7" s="26"/>
      <c r="C7" s="27"/>
      <c r="D7" s="26"/>
      <c r="E7" s="27"/>
      <c r="F7" s="28"/>
      <c r="G7" s="26"/>
      <c r="H7" s="26"/>
      <c r="I7" s="28"/>
      <c r="J7" s="29"/>
    </row>
    <row r="8" customFormat="false" ht="20" hidden="false" customHeight="false" outlineLevel="0" collapsed="false">
      <c r="A8" s="16" t="s">
        <v>17</v>
      </c>
      <c r="B8" s="21" t="n">
        <v>5</v>
      </c>
      <c r="C8" s="18" t="s">
        <v>18</v>
      </c>
      <c r="D8" s="21" t="n">
        <v>0.38</v>
      </c>
      <c r="E8" s="18" t="n">
        <f aca="false">D8*$B8</f>
        <v>1.9</v>
      </c>
      <c r="F8" s="22" t="n">
        <f aca="false">E8/E$18</f>
        <v>0.131750158706935</v>
      </c>
      <c r="G8" s="21" t="n">
        <f aca="false">D8*0.06</f>
        <v>0.0228</v>
      </c>
      <c r="H8" s="21" t="n">
        <f aca="false">G8*$B8</f>
        <v>0.114</v>
      </c>
      <c r="I8" s="22" t="n">
        <f aca="false">H8/H$18</f>
        <v>0.130590923930787</v>
      </c>
      <c r="J8" s="23" t="n">
        <f aca="false">H8/E8*$B$20</f>
        <v>60</v>
      </c>
    </row>
    <row r="9" customFormat="false" ht="20" hidden="false" customHeight="false" outlineLevel="0" collapsed="false">
      <c r="A9" s="11" t="s">
        <v>19</v>
      </c>
      <c r="B9" s="26"/>
      <c r="C9" s="27"/>
      <c r="D9" s="26"/>
      <c r="E9" s="27"/>
      <c r="F9" s="28"/>
      <c r="G9" s="26"/>
      <c r="H9" s="26"/>
      <c r="I9" s="28"/>
      <c r="J9" s="29"/>
    </row>
    <row r="10" customFormat="false" ht="20" hidden="false" customHeight="false" outlineLevel="0" collapsed="false">
      <c r="A10" s="16" t="s">
        <v>20</v>
      </c>
      <c r="B10" s="17"/>
      <c r="C10" s="18" t="s">
        <v>21</v>
      </c>
      <c r="D10" s="17"/>
      <c r="E10" s="24" t="n">
        <f aca="false">D10*$B10</f>
        <v>0</v>
      </c>
      <c r="F10" s="22" t="n">
        <f aca="false">E10/E$18</f>
        <v>0</v>
      </c>
      <c r="G10" s="17"/>
      <c r="H10" s="21" t="n">
        <f aca="false">G10*$B10</f>
        <v>0</v>
      </c>
      <c r="I10" s="22" t="n">
        <f aca="false">H10/H$18</f>
        <v>0</v>
      </c>
      <c r="J10" s="23" t="e">
        <f aca="false">H10/E10*$B$20</f>
        <v>#DIV/0!</v>
      </c>
    </row>
    <row r="11" customFormat="false" ht="20" hidden="false" customHeight="false" outlineLevel="0" collapsed="false">
      <c r="A11" s="16" t="s">
        <v>22</v>
      </c>
      <c r="B11" s="17"/>
      <c r="C11" s="18" t="s">
        <v>21</v>
      </c>
      <c r="D11" s="17"/>
      <c r="E11" s="24" t="n">
        <f aca="false">D11*$B11</f>
        <v>0</v>
      </c>
      <c r="F11" s="22" t="n">
        <f aca="false">E11/E$18</f>
        <v>0</v>
      </c>
      <c r="G11" s="17"/>
      <c r="H11" s="21" t="n">
        <f aca="false">G11*$B11</f>
        <v>0</v>
      </c>
      <c r="I11" s="22" t="n">
        <f aca="false">H11/H$18</f>
        <v>0</v>
      </c>
      <c r="J11" s="23" t="e">
        <f aca="false">H11/E11*$B$20</f>
        <v>#DIV/0!</v>
      </c>
    </row>
    <row r="12" customFormat="false" ht="20" hidden="false" customHeight="false" outlineLevel="0" collapsed="false">
      <c r="A12" s="11" t="s">
        <v>23</v>
      </c>
      <c r="B12" s="26"/>
      <c r="C12" s="27"/>
      <c r="D12" s="26"/>
      <c r="E12" s="27"/>
      <c r="F12" s="28"/>
      <c r="G12" s="26"/>
      <c r="H12" s="26"/>
      <c r="I12" s="28"/>
      <c r="J12" s="29"/>
    </row>
    <row r="13" customFormat="false" ht="20" hidden="false" customHeight="false" outlineLevel="0" collapsed="false">
      <c r="A13" s="16" t="s">
        <v>24</v>
      </c>
      <c r="B13" s="17"/>
      <c r="C13" s="18" t="s">
        <v>25</v>
      </c>
      <c r="D13" s="21" t="n">
        <v>12.1</v>
      </c>
      <c r="E13" s="30"/>
      <c r="F13" s="20" t="n">
        <f aca="false">E13/E$18</f>
        <v>0</v>
      </c>
      <c r="G13" s="21" t="n">
        <v>0.71</v>
      </c>
      <c r="H13" s="31" t="n">
        <f aca="false">G13*$B13</f>
        <v>0</v>
      </c>
      <c r="I13" s="22" t="n">
        <f aca="false">H13/H$18</f>
        <v>0</v>
      </c>
      <c r="J13" s="23" t="e">
        <f aca="false">H13/E13*$B$20</f>
        <v>#DIV/0!</v>
      </c>
    </row>
    <row r="14" customFormat="false" ht="20" hidden="false" customHeight="false" outlineLevel="0" collapsed="false">
      <c r="A14" s="11" t="s">
        <v>26</v>
      </c>
      <c r="B14" s="26"/>
      <c r="C14" s="27"/>
      <c r="D14" s="26"/>
      <c r="E14" s="27"/>
      <c r="F14" s="28"/>
      <c r="G14" s="26"/>
      <c r="H14" s="26"/>
      <c r="I14" s="28"/>
      <c r="J14" s="29"/>
    </row>
    <row r="15" customFormat="false" ht="20" hidden="false" customHeight="false" outlineLevel="0" collapsed="false">
      <c r="A15" s="16" t="s">
        <v>27</v>
      </c>
      <c r="B15" s="21" t="n">
        <f aca="false">B6</f>
        <v>0</v>
      </c>
      <c r="C15" s="18" t="s">
        <v>12</v>
      </c>
      <c r="D15" s="21" t="n">
        <v>0.71</v>
      </c>
      <c r="E15" s="18" t="n">
        <f aca="false">D15*$B15</f>
        <v>0</v>
      </c>
      <c r="F15" s="22" t="n">
        <f aca="false">E15/E$18</f>
        <v>0</v>
      </c>
      <c r="G15" s="21" t="n">
        <v>0.03</v>
      </c>
      <c r="H15" s="21" t="n">
        <f aca="false">G15*$B15</f>
        <v>0</v>
      </c>
      <c r="I15" s="22" t="n">
        <f aca="false">H15/H$18</f>
        <v>0</v>
      </c>
      <c r="J15" s="23" t="e">
        <f aca="false">H15/E15*$B$20</f>
        <v>#DIV/0!</v>
      </c>
    </row>
    <row r="16" customFormat="false" ht="20" hidden="false" customHeight="false" outlineLevel="0" collapsed="false">
      <c r="A16" s="32" t="s">
        <v>28</v>
      </c>
      <c r="B16" s="33" t="n">
        <f aca="false">B3+B5+B4</f>
        <v>0.0785</v>
      </c>
      <c r="C16" s="34" t="s">
        <v>12</v>
      </c>
      <c r="D16" s="35" t="n">
        <v>0.71</v>
      </c>
      <c r="E16" s="34" t="n">
        <f aca="false">D16*$B16</f>
        <v>0.055735</v>
      </c>
      <c r="F16" s="36" t="n">
        <f aca="false">E16/E$18</f>
        <v>0.00386478689238474</v>
      </c>
      <c r="G16" s="33" t="n">
        <v>0.03</v>
      </c>
      <c r="H16" s="34" t="n">
        <f aca="false">G16*$B16</f>
        <v>0.002355</v>
      </c>
      <c r="I16" s="36" t="n">
        <f aca="false">H16/H$18</f>
        <v>0.00269773356014915</v>
      </c>
      <c r="J16" s="37" t="n">
        <f aca="false">H16/E16*$B$20</f>
        <v>42.2535211267606</v>
      </c>
    </row>
    <row r="17" customFormat="false" ht="20" hidden="false" customHeight="false" outlineLevel="0" collapsed="false">
      <c r="A17" s="11" t="s">
        <v>29</v>
      </c>
      <c r="B17" s="26"/>
      <c r="C17" s="27"/>
      <c r="D17" s="26"/>
      <c r="E17" s="27"/>
      <c r="F17" s="28"/>
      <c r="G17" s="26"/>
      <c r="H17" s="26"/>
      <c r="I17" s="28"/>
      <c r="J17" s="29"/>
    </row>
    <row r="18" customFormat="false" ht="20" hidden="false" customHeight="false" outlineLevel="0" collapsed="false">
      <c r="A18" s="16" t="s">
        <v>29</v>
      </c>
      <c r="B18" s="21"/>
      <c r="C18" s="18"/>
      <c r="D18" s="21"/>
      <c r="E18" s="38" t="n">
        <f aca="false">SUM(E3:E16)</f>
        <v>14.421235</v>
      </c>
      <c r="F18" s="39"/>
      <c r="G18" s="40"/>
      <c r="H18" s="41" t="n">
        <f aca="false">SUM(H3:H16)</f>
        <v>0.872955</v>
      </c>
      <c r="I18" s="39"/>
      <c r="J18" s="23" t="n">
        <f aca="false">H18/E18*$B$20</f>
        <v>60.5326104179011</v>
      </c>
    </row>
    <row r="19" customFormat="false" ht="20" hidden="false" customHeight="false" outlineLevel="0" collapsed="false">
      <c r="A19" s="1" t="s">
        <v>30</v>
      </c>
      <c r="B19" s="42" t="n">
        <v>1000</v>
      </c>
      <c r="C19" s="42"/>
      <c r="D19" s="42"/>
      <c r="E19" s="42"/>
      <c r="F19" s="42"/>
      <c r="G19" s="42"/>
      <c r="H19" s="42"/>
      <c r="I19" s="42"/>
    </row>
    <row r="20" customFormat="false" ht="20" hidden="false" customHeight="false" outlineLevel="0" collapsed="false">
      <c r="A20" s="1" t="s">
        <v>31</v>
      </c>
      <c r="B20" s="42" t="n">
        <v>1000</v>
      </c>
      <c r="C20" s="42"/>
      <c r="D20" s="42"/>
      <c r="E20" s="42"/>
      <c r="F20" s="42"/>
      <c r="G20" s="42"/>
      <c r="H20" s="42"/>
      <c r="I20" s="42"/>
    </row>
    <row r="21" customFormat="false" ht="20" hidden="false" customHeight="false" outlineLevel="0" collapsed="false">
      <c r="B21" s="42"/>
      <c r="C21" s="42"/>
      <c r="D21" s="42"/>
      <c r="E21" s="42"/>
      <c r="F21" s="42"/>
      <c r="G21" s="42"/>
      <c r="H21" s="42"/>
      <c r="I21" s="4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I5" activeCellId="0" sqref="I5"/>
    </sheetView>
  </sheetViews>
  <sheetFormatPr defaultColWidth="8.83984375" defaultRowHeight="15" zeroHeight="false" outlineLevelRow="0" outlineLevelCol="0"/>
  <cols>
    <col collapsed="false" customWidth="true" hidden="false" outlineLevel="0" max="1" min="1" style="0" width="10.5"/>
    <col collapsed="false" customWidth="true" hidden="false" outlineLevel="0" max="2" min="2" style="0" width="9.33"/>
    <col collapsed="false" customWidth="true" hidden="false" outlineLevel="0" max="4" min="4" style="0" width="10.66"/>
    <col collapsed="false" customWidth="true" hidden="false" outlineLevel="0" max="5" min="5" style="0" width="9.66"/>
    <col collapsed="false" customWidth="true" hidden="false" outlineLevel="0" max="6" min="6" style="0" width="9.16"/>
    <col collapsed="false" customWidth="true" hidden="false" outlineLevel="0" max="7" min="7" style="0" width="19.66"/>
  </cols>
  <sheetData>
    <row r="1" customFormat="false" ht="15" hidden="false" customHeight="false" outlineLevel="0" collapsed="false">
      <c r="B1" s="0" t="s">
        <v>32</v>
      </c>
    </row>
    <row r="2" customFormat="false" ht="15" hidden="false" customHeight="false" outlineLevel="0" collapsed="false">
      <c r="A2" s="43" t="s">
        <v>33</v>
      </c>
      <c r="B2" s="43" t="s">
        <v>34</v>
      </c>
      <c r="C2" s="43" t="s">
        <v>35</v>
      </c>
      <c r="D2" s="43" t="s">
        <v>36</v>
      </c>
      <c r="E2" s="43" t="s">
        <v>37</v>
      </c>
      <c r="F2" s="43" t="s">
        <v>38</v>
      </c>
      <c r="G2" s="43" t="s">
        <v>39</v>
      </c>
    </row>
    <row r="3" customFormat="false" ht="15" hidden="false" customHeight="false" outlineLevel="0" collapsed="false">
      <c r="A3" s="0" t="s">
        <v>40</v>
      </c>
      <c r="B3" s="0" t="s">
        <v>41</v>
      </c>
      <c r="C3" s="0" t="s">
        <v>42</v>
      </c>
      <c r="D3" s="0" t="s">
        <v>42</v>
      </c>
      <c r="E3" s="0" t="s">
        <v>43</v>
      </c>
      <c r="F3" s="0" t="s">
        <v>12</v>
      </c>
      <c r="G3" s="0" t="s">
        <v>44</v>
      </c>
    </row>
    <row r="4" customFormat="false" ht="15" hidden="false" customHeight="false" outlineLevel="0" collapsed="false">
      <c r="A4" s="0" t="n">
        <f aca="false">PI()</f>
        <v>3.14159265358979</v>
      </c>
      <c r="B4" s="0" t="n">
        <v>19300</v>
      </c>
      <c r="C4" s="0" t="n">
        <v>5.8</v>
      </c>
      <c r="D4" s="44" t="n">
        <v>4.6E-005</v>
      </c>
      <c r="E4" s="44" t="n">
        <f aca="false">C4*D4^2*A4</f>
        <v>3.85561383189768E-008</v>
      </c>
      <c r="F4" s="44" t="n">
        <f aca="false">E4*B4</f>
        <v>0.000744133469556252</v>
      </c>
      <c r="G4" s="45" t="n">
        <f aca="false">F4*1000</f>
        <v>0.744133469556252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LibreOffice/7.2.4.1$MacOSX_X86_64 LibreOffice_project/27d75539669ac387bb498e35313b970b7fe9c4f9</Application>
  <AppVersion>15.0000</AppVersion>
  <Company>University of Michigan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2018-03-14T16:19:16Z</dcterms:created>
  <dc:creator>Olivier Jolliet</dc:creator>
  <dc:description/>
  <dc:language>en-US</dc:language>
  <cp:lastModifiedBy>Microsoft Office User</cp:lastModifiedBy>
  <dcterms:modified xsi:type="dcterms:W3CDTF">2022-03-10T16:01:49Z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