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roduction" sheetId="1" state="visible" r:id="rId3"/>
    <sheet name="Goal &amp; Scope" sheetId="2" state="visible" r:id="rId4"/>
    <sheet name="Inventory" sheetId="3" state="visible" r:id="rId5"/>
    <sheet name="Impact Assessment" sheetId="4" state="visible" r:id="rId6"/>
    <sheet name="Resul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<sst xmlns="http://schemas.openxmlformats.org/spreadsheetml/2006/main" count="189" uniqueCount="147">
  <si>
    <t xml:space="preserve">Life Cycle Assessment: Paper Cup vs. Plastic Cup</t>
  </si>
  <si>
    <t xml:space="preserve">A simplified LCA comparing the environmental impacts of one paper cup vs. one plastic (polystyrene) cup</t>
  </si>
  <si>
    <t xml:space="preserve">WHAT IS LIFE CYCLE ASSESSMENT (LCA)?</t>
  </si>
  <si>
    <t xml:space="preserve">LCA quantifies the environmental impacts of a product across its entire life — from raw material extraction through manufacturing, use, and end-of-life disposal ('cradle to grave').</t>
  </si>
  <si>
    <t xml:space="preserve">THE FOUR PHASES OF LCA</t>
  </si>
  <si>
    <t xml:space="preserve">1. Goal &amp; Scope</t>
  </si>
  <si>
    <t xml:space="preserve">Define what you are comparing and the functional unit (the basis of comparison).</t>
  </si>
  <si>
    <t xml:space="preserve">2. Inventory Analysis</t>
  </si>
  <si>
    <t xml:space="preserve">List all inputs (materials, energy) and outputs (emissions, waste) for each life stage.</t>
  </si>
  <si>
    <t xml:space="preserve">3. Impact Assessment</t>
  </si>
  <si>
    <t xml:space="preserve">Multiply inventory quantities by impact factors to get environmental scores.</t>
  </si>
  <si>
    <t xml:space="preserve">4. Interpretation</t>
  </si>
  <si>
    <t xml:space="preserve">Compare totals and draw conclusions about which option is better and why.</t>
  </si>
  <si>
    <t xml:space="preserve">THIS WORKBOOK</t>
  </si>
  <si>
    <t xml:space="preserve">Sheet</t>
  </si>
  <si>
    <t xml:space="preserve">Contents</t>
  </si>
  <si>
    <t xml:space="preserve">Goal &amp; Scope</t>
  </si>
  <si>
    <t xml:space="preserve">Functional unit, system boundary, life stages covered</t>
  </si>
  <si>
    <t xml:space="preserve">Inventory</t>
  </si>
  <si>
    <t xml:space="preserve">Mass/energy inputs and emissions per cup (user-editable inputs in blue)</t>
  </si>
  <si>
    <t xml:space="preserve">Impact Assessment</t>
  </si>
  <si>
    <t xml:space="preserve">CO₂-eq and water-use scores calculated from inventory</t>
  </si>
  <si>
    <t xml:space="preserve">Results</t>
  </si>
  <si>
    <t xml:space="preserve">Side-by-side comparison chart and summary</t>
  </si>
  <si>
    <t xml:space="preserve">⬤  Blue cells = user inputs you can change.   Black cells = formulas.</t>
  </si>
  <si>
    <t xml:space="preserve">PHASE 1 — GOAL &amp; SCOPE</t>
  </si>
  <si>
    <t xml:space="preserve">GOAL</t>
  </si>
  <si>
    <t xml:space="preserve">Study purpose</t>
  </si>
  <si>
    <t xml:space="preserve">Compare the environmental burdens of serving one hot beverage in a paper cup vs. a polystyrene (PS) foam cup.</t>
  </si>
  <si>
    <t xml:space="preserve">Intended audience</t>
  </si>
  <si>
    <t xml:space="preserve">Students learning LCA methodology; sustainability educators.</t>
  </si>
  <si>
    <t xml:space="preserve">FUNCTIONAL UNIT</t>
  </si>
  <si>
    <t xml:space="preserve">Definition</t>
  </si>
  <si>
    <t xml:space="preserve">One cup used to serve one hot beverage (approx. 12 oz / 355 mL)</t>
  </si>
  <si>
    <t xml:space="preserve">Rationale</t>
  </si>
  <si>
    <t xml:space="preserve">Both cups perform the same function; a single cup is the simplest comparable unit.</t>
  </si>
  <si>
    <t xml:space="preserve">SYSTEM BOUNDARY</t>
  </si>
  <si>
    <t xml:space="preserve">Cradle-to-grave</t>
  </si>
  <si>
    <t xml:space="preserve">Raw material extraction → Manufacturing → Distribution → Use → End-of-life</t>
  </si>
  <si>
    <t xml:space="preserve">Excluded</t>
  </si>
  <si>
    <t xml:space="preserve">Consumer travel to store; dishwashing (cups are single-use); infrastructure capital goods.</t>
  </si>
  <si>
    <t xml:space="preserve">IMPACT CATEGORIES</t>
  </si>
  <si>
    <t xml:space="preserve">Global Warming</t>
  </si>
  <si>
    <t xml:space="preserve">kg CO₂-equivalent (GWP100) — the most common LCA impact category</t>
  </si>
  <si>
    <t xml:space="preserve">Water Use</t>
  </si>
  <si>
    <t xml:space="preserve">Liters of freshwater consumed (a key differentiator between paper and plastic)</t>
  </si>
  <si>
    <t xml:space="preserve">DATA SOURCES</t>
  </si>
  <si>
    <t xml:space="preserve">Paper cup</t>
  </si>
  <si>
    <t xml:space="preserve">Hocking (1994); Franklin Associates; ecoinvent v3 estimates</t>
  </si>
  <si>
    <t xml:space="preserve">PS foam cup</t>
  </si>
  <si>
    <t xml:space="preserve">Hocking (1991, 1994); Franklin Associates; industry EPDs</t>
  </si>
  <si>
    <t xml:space="preserve">Note</t>
  </si>
  <si>
    <t xml:space="preserve">Values are illustrative order-of-magnitude estimates suitable for teaching. Real LCAs use certified databases (ecoinvent, GaBi).</t>
  </si>
  <si>
    <t xml:space="preserve">PHASE 2 — INVENTORY ANALYSIS (LCI)</t>
  </si>
  <si>
    <t xml:space="preserve">Organized by the three standard LCI categories (ISO 14040). Blue cells are user inputs.</t>
  </si>
  <si>
    <t xml:space="preserve">Flow</t>
  </si>
  <si>
    <t xml:space="preserve">Paper Cup</t>
  </si>
  <si>
    <t xml:space="preserve">PS Foam Cup</t>
  </si>
  <si>
    <t xml:space="preserve">Unit</t>
  </si>
  <si>
    <t xml:space="preserve">Notes / Source (Paper)</t>
  </si>
  <si>
    <t xml:space="preserve">Notes / Source (PS)</t>
  </si>
  <si>
    <t xml:space="preserve">PROCESSES  —  intermediate product flows between unit processes (materials &amp; services bought from the supply chain)</t>
  </si>
  <si>
    <t xml:space="preserve">Virgin wood pulp (from forestry process)</t>
  </si>
  <si>
    <t xml:space="preserve">g</t>
  </si>
  <si>
    <t xml:space="preserve">Franklin Assoc.</t>
  </si>
  <si>
    <t xml:space="preserve">N/A — not used</t>
  </si>
  <si>
    <t xml:space="preserve">Polyethylene resin (from plastics process)</t>
  </si>
  <si>
    <t xml:space="preserve">N/A — coating only</t>
  </si>
  <si>
    <t xml:space="preserve">Polystyrene resin (from petrochemical proc.)</t>
  </si>
  <si>
    <t xml:space="preserve">N/A</t>
  </si>
  <si>
    <t xml:space="preserve">Hocking 1994</t>
  </si>
  <si>
    <t xml:space="preserve">Petroleum feedstock (embodied in PS)</t>
  </si>
  <si>
    <t xml:space="preserve">ecoinvent est.</t>
  </si>
  <si>
    <t xml:space="preserve">Electricity (from grid process)</t>
  </si>
  <si>
    <t xml:space="preserve">MJ</t>
  </si>
  <si>
    <t xml:space="preserve">Thermal energy / steam (from energy proc.)</t>
  </si>
  <si>
    <t xml:space="preserve">Road transport service (truck, per cup)</t>
  </si>
  <si>
    <t xml:space="preserve">est.</t>
  </si>
  <si>
    <t xml:space="preserve">Landfill disposal service (per cup)</t>
  </si>
  <si>
    <t xml:space="preserve">fraction disposed</t>
  </si>
  <si>
    <t xml:space="preserve">assumption</t>
  </si>
  <si>
    <t xml:space="preserve">INPUTS  —  elementary flows from nature (resources extracted directly from the environment)</t>
  </si>
  <si>
    <t xml:space="preserve">Freshwater withdrawn (pulping / process)</t>
  </si>
  <si>
    <t xml:space="preserve">L</t>
  </si>
  <si>
    <t xml:space="preserve">Freshwater withdrawn (cooling)</t>
  </si>
  <si>
    <t xml:space="preserve">Land use (forestry, per cup share)</t>
  </si>
  <si>
    <t xml:space="preserve">m²·yr</t>
  </si>
  <si>
    <t xml:space="preserve">Crude oil extracted (feedstock + energy)</t>
  </si>
  <si>
    <t xml:space="preserve">OUTPUTS  —  elementary flows to nature (emissions released to air, water, or land)</t>
  </si>
  <si>
    <t xml:space="preserve">CO₂ to air (manufacturing)</t>
  </si>
  <si>
    <t xml:space="preserve">g CO₂</t>
  </si>
  <si>
    <t xml:space="preserve">CH₄ to air (landfill decomposition)</t>
  </si>
  <si>
    <t xml:space="preserve">g CO₂-eq</t>
  </si>
  <si>
    <t xml:space="preserve">IPCC CH4 factor</t>
  </si>
  <si>
    <t xml:space="preserve">NOₓ to air (transport combustion)</t>
  </si>
  <si>
    <t xml:space="preserve">BOD to water (pulping effluent)</t>
  </si>
  <si>
    <t xml:space="preserve">Solid waste to land (cup body at end of life)</t>
  </si>
  <si>
    <t xml:space="preserve">cup mass</t>
  </si>
  <si>
    <t xml:space="preserve">Color key:   Gray = Processes (intermediate flows)     Green = Inputs from nature     Orange = Outputs to nature</t>
  </si>
  <si>
    <t xml:space="preserve">PHASE 3 — IMPACT ASSESSMENT</t>
  </si>
  <si>
    <t xml:space="preserve">Inventory flows multiplied by characterization factors to produce environmental scores.</t>
  </si>
  <si>
    <t xml:space="preserve">A. GLOBAL WARMING POTENTIAL (GWP) — kg CO₂-equivalent per cup</t>
  </si>
  <si>
    <t xml:space="preserve">Flow (from Inventory)</t>
  </si>
  <si>
    <t xml:space="preserve">Paper Cup
(inventory unit)</t>
  </si>
  <si>
    <t xml:space="preserve">PS Cup
(inventory unit)</t>
  </si>
  <si>
    <t xml:space="preserve">Char. Factor
(kg CO₂-eq/unit)</t>
  </si>
  <si>
    <t xml:space="preserve">Paper GWP
(kg CO₂-eq)</t>
  </si>
  <si>
    <t xml:space="preserve">PS GWP
(kg CO₂-eq)</t>
  </si>
  <si>
    <t xml:space="preserve">LCI Category</t>
  </si>
  <si>
    <t xml:space="preserve">CO₂ to air — manufacturing (g CO₂)</t>
  </si>
  <si>
    <t xml:space="preserve">Output</t>
  </si>
  <si>
    <t xml:space="preserve">CH₄ to air — landfill (g CO₂-eq)</t>
  </si>
  <si>
    <t xml:space="preserve">Thermal energy — steam (MJ)</t>
  </si>
  <si>
    <t xml:space="preserve">Process</t>
  </si>
  <si>
    <t xml:space="preserve">Electricity — grid (MJ)</t>
  </si>
  <si>
    <t xml:space="preserve">Road transport — diesel truck (MJ)</t>
  </si>
  <si>
    <t xml:space="preserve">TOTAL GWP (kg CO₂-eq per cup)</t>
  </si>
  <si>
    <t xml:space="preserve">B. FRESHWATER CONSUMPTION — Liters per cup</t>
  </si>
  <si>
    <t xml:space="preserve">Paper Cup
(L)</t>
  </si>
  <si>
    <t xml:space="preserve">PS Cup
(L)</t>
  </si>
  <si>
    <t xml:space="preserve">Char. Factor
(dimensionless)</t>
  </si>
  <si>
    <t xml:space="preserve">Paper Water
(L)</t>
  </si>
  <si>
    <t xml:space="preserve">PS Water
(L)</t>
  </si>
  <si>
    <t xml:space="preserve">Freshwater withdrawn — pulping/process (L)</t>
  </si>
  <si>
    <t xml:space="preserve">Input</t>
  </si>
  <si>
    <t xml:space="preserve">Freshwater withdrawn — cooling (L)</t>
  </si>
  <si>
    <t xml:space="preserve">TOTAL WATER USE (L per cup)</t>
  </si>
  <si>
    <t xml:space="preserve">PHASE 4 — RESULTS &amp; INTERPRETATION</t>
  </si>
  <si>
    <t xml:space="preserve">SUMMARY TABLE</t>
  </si>
  <si>
    <t xml:space="preserve">Impact Category</t>
  </si>
  <si>
    <t xml:space="preserve">Difference
(Paper − PS)</t>
  </si>
  <si>
    <t xml:space="preserve">Interpretation</t>
  </si>
  <si>
    <t xml:space="preserve">Global Warming Potential (kg CO₂-eq)</t>
  </si>
  <si>
    <t xml:space="preserve">PS foam cup has lower GWP due to less energy-intensive manufacturing and no methane from landfill. Paper's bleaching/pulping is carbon-intensive.</t>
  </si>
  <si>
    <t xml:space="preserve">Freshwater Consumption (L)</t>
  </si>
  <si>
    <t xml:space="preserve">Paper cups require ~30-40× more water due to pulping and papermaking processes. This is often the strongest argument against paper cups.</t>
  </si>
  <si>
    <t xml:space="preserve">KEY TAKEAWAYS</t>
  </si>
  <si>
    <t xml:space="preserve">1. No clear 'green' winner</t>
  </si>
  <si>
    <t xml:space="preserve">Paper cups score worse on water use and comparably or worse on GWP. PS foam scores worse on fossil resource depletion (not modeled here). Context matters.</t>
  </si>
  <si>
    <t xml:space="preserve">2. Functional unit matters</t>
  </si>
  <si>
    <t xml:space="preserve">If a paper cup is reused (e.g. rinsed and reused 2×), its per-use impacts halve. LCA is always tied to the functional unit.</t>
  </si>
  <si>
    <t xml:space="preserve">3. End-of-life dominates some impacts</t>
  </si>
  <si>
    <t xml:space="preserve">Landfill methane from paper is significant. Composting or recycling changes the result substantially.</t>
  </si>
  <si>
    <t xml:space="preserve">4. Data uncertainty</t>
  </si>
  <si>
    <t xml:space="preserve">These are illustrative estimates. Real LCAs require certified background databases (ecoinvent, GaBi) and uncertainty analysis.</t>
  </si>
  <si>
    <t xml:space="preserve">5. Try it yourself</t>
  </si>
  <si>
    <t xml:space="preserve">Change the blue input cells in the Inventory and Impact Assessment sheets to see how sensitive the results are.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</si>
</sst>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"/>
    <numFmt numFmtId="167" formatCode="0.0"/>
    <numFmt numFmtId="168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color rgb="FF0070C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1"/>
      <color rgb="FF1F3864"/>
      <name val="Arial"/>
      <family val="0"/>
      <charset val="1"/>
    </font>
    <font>
      <b val="true"/>
      <sz val="11"/>
      <color rgb="FF0070C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BDD7EE"/>
        <bgColor rgb="FF99CCFF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E2EFDA"/>
      </patternFill>
    </fill>
    <fill>
      <patternFill patternType="solid">
        <fgColor rgb="FFDDEEFF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FC0"/>
        <bgColor rgb="FFFFFF9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843C0C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DDEE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60"/>
  </cols>
  <sheetData>
    <row r="1" customFormat="false" ht="6" hidden="false" customHeight="true" outlineLevel="0" collapsed="false"/>
    <row r="2" customFormat="false" ht="17.25" hidden="false" customHeight="true" outlineLevel="0" collapsed="false">
      <c r="B2" s="2" t="s">
        <v>0</v>
      </c>
      <c r="C2" s="2"/>
    </row>
    <row r="3" customFormat="false" ht="15" hidden="false" customHeight="true" outlineLevel="0" collapsed="false">
      <c r="B3" s="3" t="s">
        <v>1</v>
      </c>
      <c r="C3" s="3"/>
    </row>
    <row r="4" customFormat="false" ht="7.5" hidden="false" customHeight="true" outlineLevel="0" collapsed="false"/>
    <row r="5" customFormat="false" ht="15" hidden="false" customHeight="true" outlineLevel="0" collapsed="false">
      <c r="B5" s="4" t="s">
        <v>2</v>
      </c>
      <c r="C5" s="4"/>
    </row>
    <row r="6" customFormat="false" ht="30" hidden="false" customHeight="true" outlineLevel="0" collapsed="false">
      <c r="B6" s="5" t="s">
        <v>3</v>
      </c>
      <c r="C6" s="5"/>
    </row>
    <row r="7" customFormat="false" ht="7.5" hidden="false" customHeight="true" outlineLevel="0" collapsed="false"/>
    <row r="8" customFormat="false" ht="15" hidden="false" customHeight="true" outlineLevel="0" collapsed="false">
      <c r="B8" s="4" t="s">
        <v>4</v>
      </c>
      <c r="C8" s="4"/>
    </row>
    <row r="9" customFormat="false" ht="21.75" hidden="false" customHeight="true" outlineLevel="0" collapsed="false">
      <c r="B9" s="6" t="s">
        <v>5</v>
      </c>
      <c r="C9" s="7" t="s">
        <v>6</v>
      </c>
    </row>
    <row r="10" customFormat="false" ht="21.75" hidden="false" customHeight="true" outlineLevel="0" collapsed="false">
      <c r="B10" s="6" t="s">
        <v>7</v>
      </c>
      <c r="C10" s="7" t="s">
        <v>8</v>
      </c>
    </row>
    <row r="11" customFormat="false" ht="21.75" hidden="false" customHeight="true" outlineLevel="0" collapsed="false">
      <c r="B11" s="6" t="s">
        <v>9</v>
      </c>
      <c r="C11" s="7" t="s">
        <v>10</v>
      </c>
    </row>
    <row r="12" customFormat="false" ht="21.75" hidden="false" customHeight="true" outlineLevel="0" collapsed="false">
      <c r="B12" s="6" t="s">
        <v>11</v>
      </c>
      <c r="C12" s="7" t="s">
        <v>12</v>
      </c>
    </row>
    <row r="13" customFormat="false" ht="7.5" hidden="false" customHeight="true" outlineLevel="0" collapsed="false"/>
    <row r="14" customFormat="false" ht="15" hidden="false" customHeight="true" outlineLevel="0" collapsed="false">
      <c r="B14" s="4" t="s">
        <v>13</v>
      </c>
      <c r="C14" s="4"/>
    </row>
    <row r="15" customFormat="false" ht="15" hidden="false" customHeight="true" outlineLevel="0" collapsed="false">
      <c r="B15" s="8" t="s">
        <v>14</v>
      </c>
      <c r="C15" s="8" t="s">
        <v>15</v>
      </c>
    </row>
    <row r="16" customFormat="false" ht="15" hidden="false" customHeight="true" outlineLevel="0" collapsed="false">
      <c r="B16" s="9" t="s">
        <v>16</v>
      </c>
      <c r="C16" s="10" t="s">
        <v>17</v>
      </c>
    </row>
    <row r="17" customFormat="false" ht="26.25" hidden="false" customHeight="true" outlineLevel="0" collapsed="false">
      <c r="B17" s="9" t="s">
        <v>18</v>
      </c>
      <c r="C17" s="10" t="s">
        <v>19</v>
      </c>
    </row>
    <row r="18" customFormat="false" ht="15" hidden="false" customHeight="true" outlineLevel="0" collapsed="false">
      <c r="B18" s="9" t="s">
        <v>20</v>
      </c>
      <c r="C18" s="10" t="s">
        <v>21</v>
      </c>
    </row>
    <row r="19" customFormat="false" ht="15" hidden="false" customHeight="true" outlineLevel="0" collapsed="false">
      <c r="B19" s="9" t="s">
        <v>22</v>
      </c>
      <c r="C19" s="10" t="s">
        <v>23</v>
      </c>
    </row>
    <row r="20" customFormat="false" ht="7.5" hidden="false" customHeight="true" outlineLevel="0" collapsed="false"/>
    <row r="21" customFormat="false" ht="15" hidden="false" customHeight="true" outlineLevel="0" collapsed="false">
      <c r="B21" s="11" t="s">
        <v>24</v>
      </c>
      <c r="C21" s="11"/>
    </row>
  </sheetData>
  <mergeCells count="7">
    <mergeCell ref="B2:C2"/>
    <mergeCell ref="B3:C3"/>
    <mergeCell ref="B5:C5"/>
    <mergeCell ref="B6:C6"/>
    <mergeCell ref="B8:C8"/>
    <mergeCell ref="B14:C14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55"/>
  </cols>
  <sheetData>
    <row r="1" customFormat="false" ht="15.75" hidden="false" customHeight="true" outlineLevel="0" collapsed="false">
      <c r="B1" s="12" t="s">
        <v>25</v>
      </c>
      <c r="C1" s="12"/>
    </row>
    <row r="3" customFormat="false" ht="15" hidden="false" customHeight="true" outlineLevel="0" collapsed="false">
      <c r="B3" s="4" t="s">
        <v>26</v>
      </c>
      <c r="C3" s="4"/>
    </row>
    <row r="4" customFormat="false" ht="27.75" hidden="false" customHeight="true" outlineLevel="0" collapsed="false">
      <c r="B4" s="9" t="s">
        <v>27</v>
      </c>
      <c r="C4" s="10" t="s">
        <v>28</v>
      </c>
    </row>
    <row r="5" customFormat="false" ht="27.75" hidden="false" customHeight="true" outlineLevel="0" collapsed="false">
      <c r="B5" s="9" t="s">
        <v>29</v>
      </c>
      <c r="C5" s="10" t="s">
        <v>30</v>
      </c>
    </row>
    <row r="6" customFormat="false" ht="15" hidden="false" customHeight="true" outlineLevel="0" collapsed="false">
      <c r="B6" s="4" t="s">
        <v>31</v>
      </c>
      <c r="C6" s="4"/>
    </row>
    <row r="7" customFormat="false" ht="27.75" hidden="false" customHeight="true" outlineLevel="0" collapsed="false">
      <c r="B7" s="9" t="s">
        <v>32</v>
      </c>
      <c r="C7" s="10" t="s">
        <v>33</v>
      </c>
    </row>
    <row r="8" customFormat="false" ht="27.75" hidden="false" customHeight="true" outlineLevel="0" collapsed="false">
      <c r="B8" s="9" t="s">
        <v>34</v>
      </c>
      <c r="C8" s="10" t="s">
        <v>35</v>
      </c>
    </row>
    <row r="9" customFormat="false" ht="15" hidden="false" customHeight="true" outlineLevel="0" collapsed="false">
      <c r="B9" s="4" t="s">
        <v>36</v>
      </c>
      <c r="C9" s="4"/>
    </row>
    <row r="10" customFormat="false" ht="27.75" hidden="false" customHeight="true" outlineLevel="0" collapsed="false">
      <c r="B10" s="9" t="s">
        <v>37</v>
      </c>
      <c r="C10" s="10" t="s">
        <v>38</v>
      </c>
    </row>
    <row r="11" customFormat="false" ht="27.75" hidden="false" customHeight="true" outlineLevel="0" collapsed="false">
      <c r="B11" s="9" t="s">
        <v>39</v>
      </c>
      <c r="C11" s="10" t="s">
        <v>40</v>
      </c>
    </row>
    <row r="12" customFormat="false" ht="15" hidden="false" customHeight="true" outlineLevel="0" collapsed="false">
      <c r="B12" s="4" t="s">
        <v>41</v>
      </c>
      <c r="C12" s="4"/>
    </row>
    <row r="13" customFormat="false" ht="27.75" hidden="false" customHeight="true" outlineLevel="0" collapsed="false">
      <c r="B13" s="9" t="s">
        <v>42</v>
      </c>
      <c r="C13" s="10" t="s">
        <v>43</v>
      </c>
    </row>
    <row r="14" customFormat="false" ht="27.75" hidden="false" customHeight="true" outlineLevel="0" collapsed="false">
      <c r="B14" s="9" t="s">
        <v>44</v>
      </c>
      <c r="C14" s="10" t="s">
        <v>45</v>
      </c>
    </row>
    <row r="15" customFormat="false" ht="15" hidden="false" customHeight="true" outlineLevel="0" collapsed="false">
      <c r="B15" s="4" t="s">
        <v>46</v>
      </c>
      <c r="C15" s="4"/>
    </row>
    <row r="16" customFormat="false" ht="27.75" hidden="false" customHeight="true" outlineLevel="0" collapsed="false">
      <c r="B16" s="9" t="s">
        <v>47</v>
      </c>
      <c r="C16" s="10" t="s">
        <v>48</v>
      </c>
    </row>
    <row r="17" customFormat="false" ht="27.75" hidden="false" customHeight="true" outlineLevel="0" collapsed="false">
      <c r="B17" s="9" t="s">
        <v>49</v>
      </c>
      <c r="C17" s="10" t="s">
        <v>50</v>
      </c>
    </row>
    <row r="18" customFormat="false" ht="27.75" hidden="false" customHeight="true" outlineLevel="0" collapsed="false">
      <c r="B18" s="9" t="s">
        <v>51</v>
      </c>
      <c r="C18" s="10" t="s">
        <v>52</v>
      </c>
    </row>
  </sheetData>
  <mergeCells count="6">
    <mergeCell ref="B1:C1"/>
    <mergeCell ref="B3:C3"/>
    <mergeCell ref="B6:C6"/>
    <mergeCell ref="B9:C9"/>
    <mergeCell ref="B12:C12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7" min="6" style="0" width="28"/>
  </cols>
  <sheetData>
    <row r="1" customFormat="false" ht="16.15" hidden="false" customHeight="false" outlineLevel="0" collapsed="false">
      <c r="B1" s="12" t="s">
        <v>53</v>
      </c>
      <c r="C1" s="12"/>
      <c r="D1" s="12"/>
      <c r="E1" s="12"/>
      <c r="F1" s="12"/>
      <c r="G1" s="12"/>
    </row>
    <row r="2" customFormat="false" ht="15" hidden="false" customHeight="false" outlineLevel="0" collapsed="false">
      <c r="B2" s="13" t="s">
        <v>54</v>
      </c>
      <c r="C2" s="13"/>
      <c r="D2" s="13"/>
      <c r="E2" s="13"/>
      <c r="F2" s="13"/>
      <c r="G2" s="13"/>
    </row>
    <row r="4" customFormat="false" ht="27.75" hidden="false" customHeight="true" outlineLevel="0" collapsed="false">
      <c r="B4" s="14" t="s">
        <v>55</v>
      </c>
      <c r="C4" s="14" t="s">
        <v>56</v>
      </c>
      <c r="D4" s="14" t="s">
        <v>57</v>
      </c>
      <c r="E4" s="14" t="s">
        <v>58</v>
      </c>
      <c r="F4" s="14" t="s">
        <v>59</v>
      </c>
      <c r="G4" s="14" t="s">
        <v>60</v>
      </c>
    </row>
    <row r="5" customFormat="false" ht="15" hidden="false" customHeight="false" outlineLevel="0" collapsed="false">
      <c r="B5" s="4" t="s">
        <v>61</v>
      </c>
      <c r="C5" s="4"/>
      <c r="D5" s="4"/>
      <c r="E5" s="4"/>
      <c r="F5" s="4"/>
      <c r="G5" s="4"/>
    </row>
    <row r="6" customFormat="false" ht="15" hidden="false" customHeight="false" outlineLevel="0" collapsed="false">
      <c r="B6" s="15" t="s">
        <v>62</v>
      </c>
      <c r="C6" s="16" t="n">
        <v>10.1</v>
      </c>
      <c r="D6" s="16" t="n">
        <v>0</v>
      </c>
      <c r="E6" s="17" t="s">
        <v>63</v>
      </c>
      <c r="F6" s="18" t="s">
        <v>64</v>
      </c>
      <c r="G6" s="18" t="s">
        <v>65</v>
      </c>
    </row>
    <row r="7" customFormat="false" ht="15" hidden="false" customHeight="false" outlineLevel="0" collapsed="false">
      <c r="B7" s="15" t="s">
        <v>66</v>
      </c>
      <c r="C7" s="16" t="n">
        <v>1.5</v>
      </c>
      <c r="D7" s="16" t="n">
        <v>0</v>
      </c>
      <c r="E7" s="17" t="s">
        <v>63</v>
      </c>
      <c r="F7" s="18" t="s">
        <v>64</v>
      </c>
      <c r="G7" s="18" t="s">
        <v>67</v>
      </c>
    </row>
    <row r="8" customFormat="false" ht="15" hidden="false" customHeight="false" outlineLevel="0" collapsed="false">
      <c r="B8" s="15" t="s">
        <v>68</v>
      </c>
      <c r="C8" s="16" t="n">
        <v>0</v>
      </c>
      <c r="D8" s="16" t="n">
        <v>3.5</v>
      </c>
      <c r="E8" s="17" t="s">
        <v>63</v>
      </c>
      <c r="F8" s="18" t="s">
        <v>69</v>
      </c>
      <c r="G8" s="18" t="s">
        <v>70</v>
      </c>
    </row>
    <row r="9" customFormat="false" ht="15" hidden="false" customHeight="false" outlineLevel="0" collapsed="false">
      <c r="B9" s="15" t="s">
        <v>71</v>
      </c>
      <c r="C9" s="16" t="n">
        <v>0</v>
      </c>
      <c r="D9" s="16" t="n">
        <v>5.5</v>
      </c>
      <c r="E9" s="17" t="s">
        <v>63</v>
      </c>
      <c r="F9" s="18" t="s">
        <v>69</v>
      </c>
      <c r="G9" s="18" t="s">
        <v>72</v>
      </c>
    </row>
    <row r="10" customFormat="false" ht="15" hidden="false" customHeight="false" outlineLevel="0" collapsed="false">
      <c r="B10" s="15" t="s">
        <v>73</v>
      </c>
      <c r="C10" s="16" t="n">
        <v>0.025</v>
      </c>
      <c r="D10" s="16" t="n">
        <v>0.012</v>
      </c>
      <c r="E10" s="17" t="s">
        <v>74</v>
      </c>
      <c r="F10" s="18" t="s">
        <v>64</v>
      </c>
      <c r="G10" s="18" t="s">
        <v>70</v>
      </c>
    </row>
    <row r="11" customFormat="false" ht="15" hidden="false" customHeight="false" outlineLevel="0" collapsed="false">
      <c r="B11" s="15" t="s">
        <v>75</v>
      </c>
      <c r="C11" s="16" t="n">
        <v>0.062</v>
      </c>
      <c r="D11" s="16" t="n">
        <v>0.031</v>
      </c>
      <c r="E11" s="17" t="s">
        <v>74</v>
      </c>
      <c r="F11" s="18" t="s">
        <v>64</v>
      </c>
      <c r="G11" s="18" t="s">
        <v>70</v>
      </c>
    </row>
    <row r="12" customFormat="false" ht="15" hidden="false" customHeight="false" outlineLevel="0" collapsed="false">
      <c r="B12" s="15" t="s">
        <v>76</v>
      </c>
      <c r="C12" s="16" t="n">
        <v>0.005</v>
      </c>
      <c r="D12" s="16" t="n">
        <v>0.003</v>
      </c>
      <c r="E12" s="17" t="s">
        <v>74</v>
      </c>
      <c r="F12" s="18" t="s">
        <v>77</v>
      </c>
      <c r="G12" s="18" t="s">
        <v>77</v>
      </c>
    </row>
    <row r="13" customFormat="false" ht="15" hidden="false" customHeight="false" outlineLevel="0" collapsed="false">
      <c r="B13" s="15" t="s">
        <v>78</v>
      </c>
      <c r="C13" s="16" t="n">
        <v>1</v>
      </c>
      <c r="D13" s="16" t="n">
        <v>1</v>
      </c>
      <c r="E13" s="17" t="s">
        <v>79</v>
      </c>
      <c r="F13" s="18" t="s">
        <v>80</v>
      </c>
      <c r="G13" s="18" t="s">
        <v>80</v>
      </c>
    </row>
    <row r="15" customFormat="false" ht="15" hidden="false" customHeight="false" outlineLevel="0" collapsed="false">
      <c r="B15" s="4" t="s">
        <v>81</v>
      </c>
      <c r="C15" s="4"/>
      <c r="D15" s="4"/>
      <c r="E15" s="4"/>
      <c r="F15" s="4"/>
      <c r="G15" s="4"/>
    </row>
    <row r="16" customFormat="false" ht="15" hidden="false" customHeight="false" outlineLevel="0" collapsed="false">
      <c r="B16" s="19" t="s">
        <v>82</v>
      </c>
      <c r="C16" s="16" t="n">
        <v>13.1</v>
      </c>
      <c r="D16" s="16" t="n">
        <v>0.4</v>
      </c>
      <c r="E16" s="20" t="s">
        <v>83</v>
      </c>
      <c r="F16" s="18" t="s">
        <v>64</v>
      </c>
      <c r="G16" s="18" t="s">
        <v>70</v>
      </c>
    </row>
    <row r="17" customFormat="false" ht="15" hidden="false" customHeight="false" outlineLevel="0" collapsed="false">
      <c r="B17" s="19" t="s">
        <v>84</v>
      </c>
      <c r="C17" s="16" t="n">
        <v>1.2</v>
      </c>
      <c r="D17" s="16" t="n">
        <v>0.3</v>
      </c>
      <c r="E17" s="20" t="s">
        <v>83</v>
      </c>
      <c r="F17" s="18" t="s">
        <v>77</v>
      </c>
      <c r="G17" s="18" t="s">
        <v>77</v>
      </c>
    </row>
    <row r="18" customFormat="false" ht="15" hidden="false" customHeight="false" outlineLevel="0" collapsed="false">
      <c r="B18" s="19" t="s">
        <v>85</v>
      </c>
      <c r="C18" s="16" t="n">
        <v>0.05</v>
      </c>
      <c r="D18" s="16" t="n">
        <v>0</v>
      </c>
      <c r="E18" s="20" t="s">
        <v>86</v>
      </c>
      <c r="F18" s="18" t="s">
        <v>72</v>
      </c>
      <c r="G18" s="18" t="s">
        <v>69</v>
      </c>
    </row>
    <row r="19" customFormat="false" ht="15" hidden="false" customHeight="false" outlineLevel="0" collapsed="false">
      <c r="B19" s="19" t="s">
        <v>87</v>
      </c>
      <c r="C19" s="16" t="n">
        <v>2.1</v>
      </c>
      <c r="D19" s="16" t="n">
        <v>6.8</v>
      </c>
      <c r="E19" s="20" t="s">
        <v>63</v>
      </c>
      <c r="F19" s="18" t="s">
        <v>77</v>
      </c>
      <c r="G19" s="18" t="s">
        <v>70</v>
      </c>
    </row>
    <row r="21" customFormat="false" ht="15" hidden="false" customHeight="false" outlineLevel="0" collapsed="false">
      <c r="B21" s="4" t="s">
        <v>88</v>
      </c>
      <c r="C21" s="4"/>
      <c r="D21" s="4"/>
      <c r="E21" s="4"/>
      <c r="F21" s="4"/>
      <c r="G21" s="4"/>
    </row>
    <row r="22" customFormat="false" ht="15" hidden="false" customHeight="false" outlineLevel="0" collapsed="false">
      <c r="B22" s="21" t="s">
        <v>89</v>
      </c>
      <c r="C22" s="16" t="n">
        <v>4</v>
      </c>
      <c r="D22" s="16" t="n">
        <v>2</v>
      </c>
      <c r="E22" s="22" t="s">
        <v>90</v>
      </c>
      <c r="F22" s="18" t="s">
        <v>64</v>
      </c>
      <c r="G22" s="18" t="s">
        <v>70</v>
      </c>
    </row>
    <row r="23" customFormat="false" ht="15" hidden="false" customHeight="false" outlineLevel="0" collapsed="false">
      <c r="B23" s="21" t="s">
        <v>91</v>
      </c>
      <c r="C23" s="16" t="n">
        <v>0.8</v>
      </c>
      <c r="D23" s="16" t="n">
        <v>0.1</v>
      </c>
      <c r="E23" s="22" t="s">
        <v>92</v>
      </c>
      <c r="F23" s="18" t="s">
        <v>93</v>
      </c>
      <c r="G23" s="18" t="s">
        <v>93</v>
      </c>
    </row>
    <row r="24" customFormat="false" ht="15" hidden="false" customHeight="false" outlineLevel="0" collapsed="false">
      <c r="B24" s="21" t="s">
        <v>94</v>
      </c>
      <c r="C24" s="16" t="n">
        <v>0.02</v>
      </c>
      <c r="D24" s="16" t="n">
        <v>0.01</v>
      </c>
      <c r="E24" s="22" t="s">
        <v>63</v>
      </c>
      <c r="F24" s="18" t="s">
        <v>77</v>
      </c>
      <c r="G24" s="18" t="s">
        <v>77</v>
      </c>
    </row>
    <row r="25" customFormat="false" ht="15" hidden="false" customHeight="false" outlineLevel="0" collapsed="false">
      <c r="B25" s="21" t="s">
        <v>95</v>
      </c>
      <c r="C25" s="16" t="n">
        <v>0.3</v>
      </c>
      <c r="D25" s="16" t="n">
        <v>0</v>
      </c>
      <c r="E25" s="22" t="s">
        <v>63</v>
      </c>
      <c r="F25" s="18" t="s">
        <v>64</v>
      </c>
      <c r="G25" s="18" t="s">
        <v>69</v>
      </c>
    </row>
    <row r="26" customFormat="false" ht="15" hidden="false" customHeight="false" outlineLevel="0" collapsed="false">
      <c r="B26" s="21" t="s">
        <v>96</v>
      </c>
      <c r="C26" s="16" t="n">
        <v>11.6</v>
      </c>
      <c r="D26" s="16" t="n">
        <v>3.5</v>
      </c>
      <c r="E26" s="22" t="s">
        <v>63</v>
      </c>
      <c r="F26" s="18" t="s">
        <v>97</v>
      </c>
      <c r="G26" s="18" t="s">
        <v>97</v>
      </c>
    </row>
    <row r="28" customFormat="false" ht="15" hidden="false" customHeight="false" outlineLevel="0" collapsed="false">
      <c r="B28" s="23" t="s">
        <v>98</v>
      </c>
      <c r="C28" s="23"/>
      <c r="D28" s="23"/>
      <c r="E28" s="23"/>
      <c r="F28" s="23"/>
      <c r="G28" s="23"/>
    </row>
  </sheetData>
  <mergeCells count="6">
    <mergeCell ref="B1:G1"/>
    <mergeCell ref="B2:G2"/>
    <mergeCell ref="B5:G5"/>
    <mergeCell ref="B15:G15"/>
    <mergeCell ref="B21:G21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6" min="3" style="0" width="16"/>
    <col collapsed="false" customWidth="true" hidden="false" outlineLevel="0" max="7" min="7" style="0" width="22"/>
  </cols>
  <sheetData>
    <row r="1" customFormat="false" ht="16.15" hidden="false" customHeight="false" outlineLevel="0" collapsed="false">
      <c r="B1" s="12" t="s">
        <v>99</v>
      </c>
      <c r="C1" s="12"/>
      <c r="D1" s="12"/>
      <c r="E1" s="12"/>
      <c r="F1" s="12"/>
      <c r="G1" s="12"/>
    </row>
    <row r="2" customFormat="false" ht="15" hidden="false" customHeight="false" outlineLevel="0" collapsed="false">
      <c r="B2" s="13" t="s">
        <v>100</v>
      </c>
      <c r="C2" s="13"/>
      <c r="D2" s="13"/>
      <c r="E2" s="13"/>
      <c r="F2" s="13"/>
      <c r="G2" s="13"/>
    </row>
    <row r="4" customFormat="false" ht="15" hidden="false" customHeight="false" outlineLevel="0" collapsed="false">
      <c r="B4" s="24" t="s">
        <v>101</v>
      </c>
      <c r="C4" s="24"/>
      <c r="D4" s="24"/>
      <c r="E4" s="24"/>
      <c r="F4" s="24"/>
      <c r="G4" s="24"/>
    </row>
    <row r="5" customFormat="false" ht="36" hidden="false" customHeight="true" outlineLevel="0" collapsed="false">
      <c r="B5" s="25" t="s">
        <v>102</v>
      </c>
      <c r="C5" s="25" t="s">
        <v>103</v>
      </c>
      <c r="D5" s="25" t="s">
        <v>104</v>
      </c>
      <c r="E5" s="25" t="s">
        <v>105</v>
      </c>
      <c r="F5" s="25" t="s">
        <v>106</v>
      </c>
      <c r="G5" s="25" t="s">
        <v>107</v>
      </c>
      <c r="H5" s="25" t="s">
        <v>108</v>
      </c>
    </row>
    <row r="6" customFormat="false" ht="15" hidden="false" customHeight="false" outlineLevel="0" collapsed="false">
      <c r="B6" s="15" t="s">
        <v>109</v>
      </c>
      <c r="C6" s="26" t="n">
        <f aca="false">Inventory!C22</f>
        <v>4</v>
      </c>
      <c r="D6" s="26" t="n">
        <f aca="false">Inventory!D22</f>
        <v>2</v>
      </c>
      <c r="E6" s="16" t="n">
        <v>0.001</v>
      </c>
      <c r="F6" s="27" t="n">
        <f aca="false">C6*E6</f>
        <v>0.004</v>
      </c>
      <c r="G6" s="27" t="n">
        <f aca="false">D6*E6</f>
        <v>0.002</v>
      </c>
      <c r="H6" s="28" t="s">
        <v>110</v>
      </c>
    </row>
    <row r="7" customFormat="false" ht="15" hidden="false" customHeight="false" outlineLevel="0" collapsed="false">
      <c r="B7" s="15" t="s">
        <v>111</v>
      </c>
      <c r="C7" s="26" t="n">
        <f aca="false">Inventory!C23</f>
        <v>0.8</v>
      </c>
      <c r="D7" s="26" t="n">
        <f aca="false">Inventory!D23</f>
        <v>0.1</v>
      </c>
      <c r="E7" s="16" t="n">
        <v>0.001</v>
      </c>
      <c r="F7" s="27" t="n">
        <f aca="false">C7*E7</f>
        <v>0.0008</v>
      </c>
      <c r="G7" s="27" t="n">
        <f aca="false">D7*E7</f>
        <v>0.0001</v>
      </c>
      <c r="H7" s="28" t="s">
        <v>110</v>
      </c>
    </row>
    <row r="8" customFormat="false" ht="15" hidden="false" customHeight="false" outlineLevel="0" collapsed="false">
      <c r="B8" s="15" t="s">
        <v>112</v>
      </c>
      <c r="C8" s="26" t="n">
        <f aca="false">Inventory!C11</f>
        <v>0.062</v>
      </c>
      <c r="D8" s="26" t="n">
        <f aca="false">Inventory!D11</f>
        <v>0.031</v>
      </c>
      <c r="E8" s="16" t="n">
        <v>0.056</v>
      </c>
      <c r="F8" s="27" t="n">
        <f aca="false">C8*E8</f>
        <v>0.003472</v>
      </c>
      <c r="G8" s="27" t="n">
        <f aca="false">D8*E8</f>
        <v>0.001736</v>
      </c>
      <c r="H8" s="28" t="s">
        <v>113</v>
      </c>
    </row>
    <row r="9" customFormat="false" ht="15" hidden="false" customHeight="false" outlineLevel="0" collapsed="false">
      <c r="B9" s="15" t="s">
        <v>114</v>
      </c>
      <c r="C9" s="26" t="n">
        <f aca="false">Inventory!C10</f>
        <v>0.025</v>
      </c>
      <c r="D9" s="26" t="n">
        <f aca="false">Inventory!D10</f>
        <v>0.012</v>
      </c>
      <c r="E9" s="16" t="n">
        <v>0.1</v>
      </c>
      <c r="F9" s="27" t="n">
        <f aca="false">C9*E9</f>
        <v>0.0025</v>
      </c>
      <c r="G9" s="27" t="n">
        <f aca="false">D9*E9</f>
        <v>0.0012</v>
      </c>
      <c r="H9" s="28" t="s">
        <v>113</v>
      </c>
    </row>
    <row r="10" customFormat="false" ht="15" hidden="false" customHeight="false" outlineLevel="0" collapsed="false">
      <c r="B10" s="15" t="s">
        <v>115</v>
      </c>
      <c r="C10" s="26" t="n">
        <f aca="false">Inventory!C12</f>
        <v>0.005</v>
      </c>
      <c r="D10" s="26" t="n">
        <f aca="false">Inventory!D12</f>
        <v>0.003</v>
      </c>
      <c r="E10" s="16" t="n">
        <v>0.074</v>
      </c>
      <c r="F10" s="27" t="n">
        <f aca="false">C10*E10</f>
        <v>0.00037</v>
      </c>
      <c r="G10" s="27" t="n">
        <f aca="false">D10*E10</f>
        <v>0.000222</v>
      </c>
      <c r="H10" s="28" t="s">
        <v>113</v>
      </c>
    </row>
    <row r="11" customFormat="false" ht="15" hidden="false" customHeight="false" outlineLevel="0" collapsed="false">
      <c r="B11" s="29" t="s">
        <v>116</v>
      </c>
      <c r="F11" s="30" t="n">
        <f aca="false">SUM(F6:F10)</f>
        <v>0.011142</v>
      </c>
      <c r="G11" s="30" t="n">
        <f aca="false">SUM(G6:G10)</f>
        <v>0.005258</v>
      </c>
    </row>
    <row r="13" customFormat="false" ht="15" hidden="false" customHeight="false" outlineLevel="0" collapsed="false">
      <c r="B13" s="31" t="s">
        <v>117</v>
      </c>
      <c r="C13" s="31"/>
      <c r="D13" s="31"/>
      <c r="E13" s="31"/>
      <c r="F13" s="31"/>
      <c r="G13" s="31"/>
    </row>
    <row r="14" customFormat="false" ht="36" hidden="false" customHeight="true" outlineLevel="0" collapsed="false">
      <c r="B14" s="32" t="s">
        <v>102</v>
      </c>
      <c r="C14" s="32" t="s">
        <v>118</v>
      </c>
      <c r="D14" s="32" t="s">
        <v>119</v>
      </c>
      <c r="E14" s="32" t="s">
        <v>120</v>
      </c>
      <c r="F14" s="32" t="s">
        <v>121</v>
      </c>
      <c r="G14" s="32" t="s">
        <v>122</v>
      </c>
      <c r="H14" s="32" t="s">
        <v>108</v>
      </c>
    </row>
    <row r="15" customFormat="false" ht="15" hidden="false" customHeight="false" outlineLevel="0" collapsed="false">
      <c r="B15" s="15" t="s">
        <v>123</v>
      </c>
      <c r="C15" s="26" t="n">
        <f aca="false">Inventory!C16</f>
        <v>13.1</v>
      </c>
      <c r="D15" s="26" t="n">
        <f aca="false">Inventory!D16</f>
        <v>0.4</v>
      </c>
      <c r="E15" s="33" t="n">
        <v>1</v>
      </c>
      <c r="F15" s="34" t="n">
        <f aca="false">C15*E15</f>
        <v>13.1</v>
      </c>
      <c r="G15" s="34" t="n">
        <f aca="false">D15*E15</f>
        <v>0.4</v>
      </c>
      <c r="H15" s="28" t="s">
        <v>124</v>
      </c>
    </row>
    <row r="16" customFormat="false" ht="15" hidden="false" customHeight="false" outlineLevel="0" collapsed="false">
      <c r="B16" s="15" t="s">
        <v>125</v>
      </c>
      <c r="C16" s="26" t="n">
        <f aca="false">Inventory!C17</f>
        <v>1.2</v>
      </c>
      <c r="D16" s="26" t="n">
        <f aca="false">Inventory!D17</f>
        <v>0.3</v>
      </c>
      <c r="E16" s="33" t="n">
        <v>1</v>
      </c>
      <c r="F16" s="34" t="n">
        <f aca="false">C16*E16</f>
        <v>1.2</v>
      </c>
      <c r="G16" s="34" t="n">
        <f aca="false">D16*E16</f>
        <v>0.3</v>
      </c>
      <c r="H16" s="28" t="s">
        <v>124</v>
      </c>
    </row>
    <row r="17" customFormat="false" ht="15" hidden="false" customHeight="false" outlineLevel="0" collapsed="false">
      <c r="B17" s="35" t="s">
        <v>126</v>
      </c>
      <c r="F17" s="36" t="n">
        <f aca="false">SUM(F15:F16)</f>
        <v>14.3</v>
      </c>
      <c r="G17" s="36" t="n">
        <f aca="false">SUM(G15:G16)</f>
        <v>0.7</v>
      </c>
    </row>
  </sheetData>
  <mergeCells count="4">
    <mergeCell ref="B1:G1"/>
    <mergeCell ref="B2:G2"/>
    <mergeCell ref="B4:G4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5" min="3" style="1" width="18"/>
    <col collapsed="false" customWidth="true" hidden="false" outlineLevel="0" max="6" min="6" style="1" width="36"/>
  </cols>
  <sheetData>
    <row r="1" customFormat="false" ht="15.75" hidden="false" customHeight="true" outlineLevel="0" collapsed="false">
      <c r="B1" s="12" t="s">
        <v>127</v>
      </c>
      <c r="C1" s="12"/>
      <c r="D1" s="12"/>
      <c r="E1" s="12"/>
      <c r="F1" s="12"/>
    </row>
    <row r="3" customFormat="false" ht="15" hidden="false" customHeight="true" outlineLevel="0" collapsed="false">
      <c r="B3" s="4" t="s">
        <v>128</v>
      </c>
      <c r="C3" s="4"/>
      <c r="D3" s="4"/>
      <c r="E3" s="4"/>
      <c r="F3" s="4"/>
    </row>
    <row r="4" customFormat="false" ht="30" hidden="false" customHeight="true" outlineLevel="0" collapsed="false">
      <c r="B4" s="14" t="s">
        <v>129</v>
      </c>
      <c r="C4" s="14" t="s">
        <v>56</v>
      </c>
      <c r="D4" s="14" t="s">
        <v>57</v>
      </c>
      <c r="E4" s="14" t="s">
        <v>130</v>
      </c>
      <c r="F4" s="14" t="s">
        <v>131</v>
      </c>
    </row>
    <row r="5" customFormat="false" ht="39.75" hidden="false" customHeight="true" outlineLevel="0" collapsed="false">
      <c r="B5" s="29" t="s">
        <v>132</v>
      </c>
      <c r="C5" s="37" t="n">
        <f aca="false">'Impact Assessment'!F11</f>
        <v>0.011142</v>
      </c>
      <c r="D5" s="37" t="n">
        <f aca="false">'Impact Assessment'!G11</f>
        <v>0.005258</v>
      </c>
      <c r="E5" s="37" t="n">
        <f aca="false">C5-D5</f>
        <v>0.005884</v>
      </c>
      <c r="F5" s="38" t="s">
        <v>133</v>
      </c>
    </row>
    <row r="6" customFormat="false" ht="39.75" hidden="false" customHeight="true" outlineLevel="0" collapsed="false">
      <c r="B6" s="35" t="s">
        <v>134</v>
      </c>
      <c r="C6" s="39" t="n">
        <f aca="false">'Impact Assessment'!F17</f>
        <v>14.3</v>
      </c>
      <c r="D6" s="39" t="n">
        <f aca="false">'Impact Assessment'!G17</f>
        <v>0.7</v>
      </c>
      <c r="E6" s="39" t="n">
        <f aca="false">C6-D6</f>
        <v>13.6</v>
      </c>
      <c r="F6" s="40" t="s">
        <v>135</v>
      </c>
    </row>
    <row r="8" customFormat="false" ht="15" hidden="false" customHeight="true" outlineLevel="0" collapsed="false">
      <c r="B8" s="4" t="s">
        <v>136</v>
      </c>
      <c r="C8" s="4"/>
      <c r="D8" s="4"/>
      <c r="E8" s="4"/>
      <c r="F8" s="4"/>
    </row>
    <row r="9" customFormat="false" ht="31.5" hidden="false" customHeight="true" outlineLevel="0" collapsed="false">
      <c r="B9" s="6" t="s">
        <v>137</v>
      </c>
      <c r="C9" s="41" t="s">
        <v>138</v>
      </c>
      <c r="D9" s="41"/>
      <c r="E9" s="41"/>
      <c r="F9" s="41"/>
    </row>
    <row r="10" customFormat="false" ht="31.5" hidden="false" customHeight="true" outlineLevel="0" collapsed="false">
      <c r="B10" s="6" t="s">
        <v>139</v>
      </c>
      <c r="C10" s="41" t="s">
        <v>140</v>
      </c>
      <c r="D10" s="41"/>
      <c r="E10" s="41"/>
      <c r="F10" s="41"/>
    </row>
    <row r="11" customFormat="false" ht="31.5" hidden="false" customHeight="true" outlineLevel="0" collapsed="false">
      <c r="B11" s="6" t="s">
        <v>141</v>
      </c>
      <c r="C11" s="41" t="s">
        <v>142</v>
      </c>
      <c r="D11" s="41"/>
      <c r="E11" s="41"/>
      <c r="F11" s="41"/>
    </row>
    <row r="12" customFormat="false" ht="31.5" hidden="false" customHeight="true" outlineLevel="0" collapsed="false">
      <c r="B12" s="6" t="s">
        <v>143</v>
      </c>
      <c r="C12" s="41" t="s">
        <v>144</v>
      </c>
      <c r="D12" s="41"/>
      <c r="E12" s="41"/>
      <c r="F12" s="41"/>
    </row>
    <row r="13" customFormat="false" ht="31.5" hidden="false" customHeight="true" outlineLevel="0" collapsed="false">
      <c r="B13" s="6" t="s">
        <v>145</v>
      </c>
      <c r="C13" s="41" t="s">
        <v>146</v>
      </c>
      <c r="D13" s="41"/>
      <c r="E13" s="41"/>
      <c r="F13" s="41"/>
    </row>
  </sheetData>
  <mergeCells count="8">
    <mergeCell ref="B1:F1"/>
    <mergeCell ref="B3:F3"/>
    <mergeCell ref="B8:F8"/>
    <mergeCell ref="C9:F9"/>
    <mergeCell ref="C10:F10"/>
    <mergeCell ref="C11:F11"/>
    <mergeCell ref="C12:F12"/>
    <mergeCell ref="C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2026-05-25T03:18:38Z</dcterms:created>
  <dc:creator>openpyxl</dc:creator>
  <dc:description/>
  <dc:language>en-US</dc:language>
  <cp:lastModifiedBy/>
  <dcterms:modified xsi:type="dcterms:W3CDTF">2026-05-25T03:52:48Z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